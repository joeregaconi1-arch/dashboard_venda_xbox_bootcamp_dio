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gac\Downloads\"/>
    </mc:Choice>
  </mc:AlternateContent>
  <xr:revisionPtr revIDLastSave="0" documentId="13_ncr:1_{109B6993-1192-4302-AB50-B28A7BB1F2F1}" xr6:coauthVersionLast="47" xr6:coauthVersionMax="47" xr10:uidLastSave="{00000000-0000-0000-0000-000000000000}"/>
  <bookViews>
    <workbookView xWindow="-120" yWindow="-120" windowWidth="20730" windowHeight="11040" tabRatio="2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3" l="1"/>
  <c r="F38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<sst xmlns="http://schemas.openxmlformats.org/spreadsheetml/2006/main" count="2022" uniqueCount="324">
  <si>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</si>
  <si>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</si>
  <si>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</si>
  <si>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</si>
  <si>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</si>
  <si>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</si>
  <si>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</si>
  <si>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</si>
  <si>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</si>
  <si>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</si>
  <si>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</si>
  <si>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</si>
  <si>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</si>
  <si>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</si>
  <si>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</si>
  <si>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</si>
  <si>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</si>
  <si>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</si>
  <si>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</si>
  <si>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</si>
  <si>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</si>
  <si>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</si>
  <si>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</si>
  <si>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</si>
  <si>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</si>
  <si>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</si>
  <si>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</si>
  <si>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</si>
  <si>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</si>
  <si>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</si>
  <si>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</si>
  <si>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</si>
  <si>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</si>
  <si>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</si>
  <si>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</si>
  <si>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</si>
  <si>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</si>
  <si>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</si>
  <si>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</si>
  <si>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</si>
  <si>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</si>
  <si>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</si>
  <si>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</si>
  <si>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</si>
  <si>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</si>
  <si>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</si>
  <si>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</si>
  <si>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</si>
  <si>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</si>
  <si>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</si>
  <si>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</si>
  <si>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</si>
  <si>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</si>
  <si>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</si>
  <si>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</si>
  <si>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</si>
  <si>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</si>
  <si>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</si>
  <si>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</si>
  <si>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</si>
  <si>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</si>
  <si>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</si>
  <si>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</si>
  <si>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</si>
  <si>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</si>
  <si>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</si>
  <si>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</si>
  <si>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</si>
  <si>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</si>
  <si>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</si>
  <si>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</si>
  <si>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</si>
  <si>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</si>
  <si>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</si>
  <si>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</si>
  <si>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</si>
  <si>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</si>
  <si>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</si>
  <si>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</si>
  <si>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</si>
  <si>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</si>
  <si>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</si>
  <si>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</si>
  <si>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</si>
  <si>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</si>
  <si>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</si>
  <si>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</si>
  <si>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</si>
  <si>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</si>
  <si>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</si>
  <si>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</si>
  <si>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</si>
  <si>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</si>
  <si>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</si>
  <si>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</si>
  <si>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</si>
  <si>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</si>
  <si>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</si>
  <si>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</si>
  <si>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</si>
  <si>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</si>
  <si>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</si>
  <si>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</si>
  <si>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</si>
  <si>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</si>
  <si>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</si>
  <si>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</si>
  <si>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</si>
  <si>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</si>
  <si>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</si>
  <si>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</si>
  <si>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</si>
  <si>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</si>
  <si>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</si>
  <si>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</si>
  <si>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</si>
  <si>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</si>
  <si>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</si>
  <si>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</si>
  <si>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</si>
  <si>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</si>
  <si>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</si>
  <si>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</si>
  <si>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</si>
  <si>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</si>
  <si>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</si>
  <si>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</si>
  <si>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</si>
  <si>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</si>
  <si>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</si>
  <si>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</si>
  <si>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</si>
  <si>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</si>
  <si>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</si>
  <si>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</si>
  <si>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</si>
  <si>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</si>
  <si>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</si>
  <si>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</si>
  <si>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</si>
  <si>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</si>
  <si>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</si>
  <si>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</si>
  <si>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</si>
  <si>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</si>
  <si>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</si>
  <si>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</si>
  <si>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</si>
  <si>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</si>
  <si>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</si>
  <si>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</si>
  <si>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</si>
  <si>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</si>
  <si>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</si>
  <si>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</si>
  <si>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</si>
  <si>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</si>
  <si>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</si>
  <si>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</si>
  <si>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</si>
  <si>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</si>
  <si>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</si>
  <si>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</si>
  <si>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</si>
  <si>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</si>
  <si>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</si>
  <si>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</si>
  <si>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</si>
  <si>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</si>
  <si>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</si>
  <si>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</si>
  <si>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</si>
  <si>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</si>
  <si>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</si>
  <si>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</si>
  <si>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</si>
  <si>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</si>
  <si>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</si>
  <si>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</si>
  <si>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</si>
  <si>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</si>
  <si>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</si>
  <si>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</si>
  <si>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</si>
  <si>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</si>
  <si>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</si>
  <si>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</si>
  <si>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</si>
  <si>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</si>
  <si>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</si>
  <si>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</si>
  <si>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</si>
  <si>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</si>
  <si>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</si>
  <si>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</si>
  <si>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</si>
  <si>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</si>
  <si>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</si>
  <si>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</si>
  <si>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</si>
  <si>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</si>
  <si>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</si>
  <si>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</si>
  <si>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</si>
  <si>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</si>
  <si>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</si>
  <si>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</si>
  <si>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</si>
  <si>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</si>
  <si>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</si>
  <si>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</si>
  <si>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</si>
  <si>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</si>
  <si>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</si>
  <si>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</si>
  <si>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</si>
  <si>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</si>
  <si>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</si>
  <si>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</si>
  <si>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</si>
  <si>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</si>
  <si>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</si>
  <si>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</si>
  <si>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</si>
  <si>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</si>
  <si>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</si>
  <si>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</si>
  <si>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</si>
  <si>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</si>
  <si>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</si>
  <si>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</si>
  <si>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</si>
  <si>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</si>
  <si>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</si>
  <si>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</si>
  <si>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</si>
  <si>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</si>
  <si>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</si>
  <si>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</si>
  <si>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</si>
  <si>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</si>
  <si>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</si>
  <si>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</si>
  <si>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</si>
  <si>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</si>
  <si>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</si>
  <si>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</si>
  <si>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</si>
  <si>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</si>
  <si>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</si>
  <si>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</si>
  <si>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</si>
  <si>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</si>
  <si>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</si>
  <si>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</si>
  <si>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</si>
  <si>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</si>
  <si>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</si>
  <si>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</si>
  <si>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</si>
  <si>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</si>
  <si>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</si>
  <si>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</si>
  <si>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</si>
  <si>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</si>
  <si>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</si>
  <si>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</si>
  <si>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</si>
  <si>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</si>
  <si>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</si>
  <si>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</si>
  <si>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</si>
  <si>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</si>
  <si>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</si>
  <si>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</si>
  <si>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</si>
  <si>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</si>
  <si>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</si>
  <si>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</si>
  <si>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</si>
  <si>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</si>
  <si>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</si>
  <si>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</si>
  <si>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</si>
  <si>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</si>
  <si>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</si>
  <si>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</si>
  <si>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</si>
  <si>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</si>
  <si>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</si>
  <si>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</si>
  <si>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</si>
  <si>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</si>
  <si>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</si>
  <si>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</si>
  <si>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</si>
  <si>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</si>
  <si>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</si>
  <si>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</si>
  <si>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</si>
  <si>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</si>
  <si>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</si>
  <si>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</si>
  <si>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</si>
  <si>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</si>
  <si>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</si>
  <si>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</si>
  <si>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</si>
  <si>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</si>
  <si>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</si>
  <si>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</si>
  <si>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</si>
  <si>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</si>
  <si>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Informação: é uma pergunta de negócio respondida através de uma análise de dados específica</t>
  </si>
  <si>
    <t>Pergunta de negócio 1 - Qual faturamento total de vendas de planos anuais (contendo todas as assinaturas agregadas)</t>
  </si>
  <si>
    <t>Rótulos de Linha</t>
  </si>
  <si>
    <t>Total Geral</t>
  </si>
  <si>
    <t>Soma de Total Value</t>
  </si>
  <si>
    <t>Pergunta de negócio 2 - Qual o total de faturamento total de vendas de planos anuais, separado por planos de auto renovação e planos que não são de auto renovação</t>
  </si>
  <si>
    <t>XBOX GAME PASS SUBSCRIPTIONS SALES</t>
  </si>
  <si>
    <t>Soma de EA Play Season Pass</t>
  </si>
  <si>
    <t>Pergunta de negócio 3 - Qual o total de vendas de assinaturas do EA Play Season Pass</t>
  </si>
  <si>
    <t>Pergunta 4 - Total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</si>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</sst>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107C10"/>
      <name val="Segoe UI"/>
      <family val="2"/>
    </font>
    <font>
      <b/>
      <sz val="36"/>
      <color rgb="FF107C1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rgb="FF107C1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9BC848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0" fontId="0" fillId="9" borderId="0" xfId="0" applyFill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5" fillId="0" borderId="2" xfId="1" applyFont="1" applyBorder="1" applyAlignment="1">
      <alignment horizontal="left" indent="7"/>
    </xf>
    <xf numFmtId="0" fontId="6" fillId="0" borderId="2" xfId="1" applyFont="1" applyBorder="1"/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0"/>
      </font>
      <fill>
        <patternFill>
          <bgColor rgb="FF107C10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6 2" pivot="0" table="0" count="10" xr9:uid="{03F30210-F6EB-426C-B484-CCFEB85F0A12}">
      <tableStyleElement type="wholeTable" dxfId="15"/>
      <tableStyleElement type="headerRow" dxfId="14"/>
    </tableStyle>
  </tableStyles>
  <colors>
    <mruColors>
      <color rgb="FF107C10"/>
      <color rgb="FF9BC848"/>
      <color rgb="FF2AE6B1"/>
      <color rgb="FF22C55E"/>
      <color rgb="FFE8E6E9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desafio de projeto bootcamp santander dio.xlsx]C̳álculos!tbl_annual_total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C848"/>
          </a:solidFill>
          <a:ln>
            <a:noFill/>
          </a:ln>
          <a:effectLst/>
        </c:spPr>
      </c:pivotFmt>
      <c:pivotFmt>
        <c:idx val="4"/>
        <c:spPr>
          <a:solidFill>
            <a:srgbClr val="9BC84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C̳álculos!$C$12:$C$14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C̳álculos!$D$12:$D$14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0-4DF3-8911-1DCB14CB2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6637824"/>
        <c:axId val="1516630144"/>
      </c:barChart>
      <c:catAx>
        <c:axId val="151663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6630144"/>
        <c:crosses val="autoZero"/>
        <c:auto val="1"/>
        <c:lblAlgn val="ctr"/>
        <c:lblOffset val="100"/>
        <c:noMultiLvlLbl val="0"/>
      </c:catAx>
      <c:valAx>
        <c:axId val="151663014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1663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59530</xdr:colOff>
      <xdr:row>0</xdr:row>
      <xdr:rowOff>0</xdr:rowOff>
    </xdr:from>
    <xdr:to>
      <xdr:col>2</xdr:col>
      <xdr:colOff>571499</xdr:colOff>
      <xdr:row>4</xdr:row>
      <xdr:rowOff>64598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85EC28-9E0B-422C-A4ED-C5FBB18573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2813" r="73185" b="17304"/>
        <a:stretch>
          <a:fillRect/>
        </a:stretch>
      </xdr:blipFill>
      <xdr:spPr>
        <a:xfrm>
          <a:off x="1988343" y="0"/>
          <a:ext cx="750094" cy="957567"/>
        </a:xfrm>
        <a:prstGeom prst="rect">
          <a:avLst/>
        </a:prstGeom>
      </xdr:spPr>
    </xdr:pic>
    <xdr:clientData/>
  </xdr:twoCellAnchor>
  <xdr:twoCellAnchor editAs="absolute">
    <xdr:from>
      <xdr:col>1</xdr:col>
      <xdr:colOff>71436</xdr:colOff>
      <xdr:row>15</xdr:row>
      <xdr:rowOff>83342</xdr:rowOff>
    </xdr:from>
    <xdr:to>
      <xdr:col>17</xdr:col>
      <xdr:colOff>535781</xdr:colOff>
      <xdr:row>35</xdr:row>
      <xdr:rowOff>107155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7D1ECE62-58A5-885E-5744-482EFDDD3C9A}"/>
            </a:ext>
          </a:extLst>
        </xdr:cNvPr>
        <xdr:cNvGrpSpPr/>
      </xdr:nvGrpSpPr>
      <xdr:grpSpPr>
        <a:xfrm>
          <a:off x="2000249" y="3167061"/>
          <a:ext cx="9644063" cy="3833813"/>
          <a:chOff x="2726531" y="1252704"/>
          <a:chExt cx="4843463" cy="2890670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F4AAE54D-4C1F-6317-C51D-FE99D3C645AE}"/>
              </a:ext>
            </a:extLst>
          </xdr:cNvPr>
          <xdr:cNvSpPr/>
        </xdr:nvSpPr>
        <xdr:spPr>
          <a:xfrm>
            <a:off x="2726531" y="1252704"/>
            <a:ext cx="4833938" cy="289067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5475EC03-223D-411E-B446-9D8FFC63C5E5}"/>
              </a:ext>
            </a:extLst>
          </xdr:cNvPr>
          <xdr:cNvGraphicFramePr>
            <a:graphicFrameLocks/>
          </xdr:cNvGraphicFramePr>
        </xdr:nvGraphicFramePr>
        <xdr:xfrm>
          <a:off x="2997994" y="1755429"/>
          <a:ext cx="4572000" cy="23569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35719</xdr:colOff>
      <xdr:row>8</xdr:row>
      <xdr:rowOff>119062</xdr:rowOff>
    </xdr:from>
    <xdr:to>
      <xdr:col>0</xdr:col>
      <xdr:colOff>1864519</xdr:colOff>
      <xdr:row>22</xdr:row>
      <xdr:rowOff>119062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C185EC06-73B2-41C9-B128-636AC48ABD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9" y="1869281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95249</xdr:colOff>
      <xdr:row>6</xdr:row>
      <xdr:rowOff>21431</xdr:rowOff>
    </xdr:from>
    <xdr:to>
      <xdr:col>9</xdr:col>
      <xdr:colOff>440531</xdr:colOff>
      <xdr:row>14</xdr:row>
      <xdr:rowOff>130968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A16772EA-EBED-7D9C-3078-51925FC8CBFC}"/>
            </a:ext>
          </a:extLst>
        </xdr:cNvPr>
        <xdr:cNvGrpSpPr/>
      </xdr:nvGrpSpPr>
      <xdr:grpSpPr>
        <a:xfrm>
          <a:off x="2024062" y="1164431"/>
          <a:ext cx="4833938" cy="1859756"/>
          <a:chOff x="2024062" y="1178718"/>
          <a:chExt cx="4750594" cy="1738314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BD07CE26-5E53-D5B0-3AF2-74B3F1FAA64C}"/>
              </a:ext>
            </a:extLst>
          </xdr:cNvPr>
          <xdr:cNvSpPr/>
        </xdr:nvSpPr>
        <xdr:spPr>
          <a:xfrm>
            <a:off x="2024062" y="1178719"/>
            <a:ext cx="4738688" cy="169068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5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466C41C0-B102-4752-B985-BC4DB041D193}"/>
              </a:ext>
            </a:extLst>
          </xdr:cNvPr>
          <xdr:cNvSpPr/>
        </xdr:nvSpPr>
        <xdr:spPr>
          <a:xfrm>
            <a:off x="2178845" y="1488281"/>
            <a:ext cx="4060030" cy="1428751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fld id="{26681D64-C098-4A5D-93AA-2DB8CAC45FA3}" type="TxLink">
              <a:rPr lang="en-US" sz="3200" b="1" i="0" u="none" strike="noStrike">
                <a:solidFill>
                  <a:srgbClr val="107C10"/>
                </a:solidFill>
                <a:latin typeface="Aptos Narrow"/>
              </a:rPr>
              <a:pPr algn="r"/>
              <a:t> R$ 600,00 </a:t>
            </a:fld>
            <a:endParaRPr lang="en-US" sz="3200" b="1">
              <a:solidFill>
                <a:srgbClr val="107C10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CBF4F5C-84E8-4867-921E-268856C508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07470" y="1619250"/>
            <a:ext cx="1219200" cy="1219200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A6817C12-9C94-ACAE-5741-172BDE07424B}"/>
              </a:ext>
            </a:extLst>
          </xdr:cNvPr>
          <xdr:cNvSpPr/>
        </xdr:nvSpPr>
        <xdr:spPr>
          <a:xfrm>
            <a:off x="2024063" y="1178718"/>
            <a:ext cx="4750593" cy="47625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107C1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VENDAS EA PLAY SEASON PASS</a:t>
            </a:r>
            <a:endParaRPr lang="pt-BR" sz="16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116681</xdr:colOff>
      <xdr:row>6</xdr:row>
      <xdr:rowOff>21431</xdr:rowOff>
    </xdr:from>
    <xdr:to>
      <xdr:col>18</xdr:col>
      <xdr:colOff>0</xdr:colOff>
      <xdr:row>14</xdr:row>
      <xdr:rowOff>130968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4034DCAE-F849-56DF-B75B-BE59F3D685F0}"/>
            </a:ext>
          </a:extLst>
        </xdr:cNvPr>
        <xdr:cNvGrpSpPr/>
      </xdr:nvGrpSpPr>
      <xdr:grpSpPr>
        <a:xfrm>
          <a:off x="7141369" y="1164431"/>
          <a:ext cx="4574381" cy="1859756"/>
          <a:chOff x="7165181" y="1081087"/>
          <a:chExt cx="4750594" cy="1738314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959C0B3E-DA79-4E7B-B322-BA683C88BD03}"/>
              </a:ext>
            </a:extLst>
          </xdr:cNvPr>
          <xdr:cNvGrpSpPr/>
        </xdr:nvGrpSpPr>
        <xdr:grpSpPr>
          <a:xfrm>
            <a:off x="7165181" y="1081087"/>
            <a:ext cx="4750594" cy="1738314"/>
            <a:chOff x="2024062" y="1178718"/>
            <a:chExt cx="4750594" cy="1738314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9F5E1319-860E-CE43-9E0E-FE64DE200420}"/>
                </a:ext>
              </a:extLst>
            </xdr:cNvPr>
            <xdr:cNvSpPr/>
          </xdr:nvSpPr>
          <xdr:spPr>
            <a:xfrm>
              <a:off x="2024062" y="1178719"/>
              <a:ext cx="4738688" cy="169068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8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C998CBBC-6FD7-BF7B-37F2-35B34862C928}"/>
                </a:ext>
              </a:extLst>
            </xdr:cNvPr>
            <xdr:cNvSpPr/>
          </xdr:nvSpPr>
          <xdr:spPr>
            <a:xfrm>
              <a:off x="2178845" y="1488281"/>
              <a:ext cx="4060030" cy="1428751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r"/>
              <a:fld id="{A99CFB25-5BE1-4AF9-A026-3B7C303E4D6D}" type="TxLink">
                <a:rPr lang="en-US" sz="3200" b="1" i="0" u="none" strike="noStrike">
                  <a:solidFill>
                    <a:srgbClr val="107C10"/>
                  </a:solidFill>
                  <a:latin typeface="Aptos Narrow"/>
                </a:rPr>
                <a:pPr algn="r"/>
                <a:t> R$ 940,00 </a:t>
              </a:fld>
              <a:endParaRPr lang="en-US" sz="8800" b="1">
                <a:solidFill>
                  <a:srgbClr val="107C10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11257728-7AFA-214B-E833-470968F41F5A}"/>
                </a:ext>
              </a:extLst>
            </xdr:cNvPr>
            <xdr:cNvSpPr/>
          </xdr:nvSpPr>
          <xdr:spPr>
            <a:xfrm>
              <a:off x="2024063" y="1178718"/>
              <a:ext cx="4750593" cy="476250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107C1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pt-BR" sz="16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6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VENDAS MINECRAFT SEASON PASS</a:t>
              </a:r>
              <a:endParaRPr lang="pt-BR" sz="16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023F483A-4488-47CA-BB6E-52595FCB1F1D}"/>
              </a:ext>
            </a:extLst>
          </xdr:cNvPr>
          <xdr:cNvGrpSpPr/>
        </xdr:nvGrpSpPr>
        <xdr:grpSpPr>
          <a:xfrm>
            <a:off x="7536656" y="1774029"/>
            <a:ext cx="1439938" cy="600077"/>
            <a:chOff x="3495675" y="5415313"/>
            <a:chExt cx="1549476" cy="737837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D19478A6-FFD1-E998-5BFE-CCE16C55AE4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011948" y="5415313"/>
              <a:ext cx="542157" cy="59495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B7FFA8F2-4A2B-11C2-C80F-D718A5A91AD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95249</xdr:colOff>
      <xdr:row>15</xdr:row>
      <xdr:rowOff>95250</xdr:rowOff>
    </xdr:from>
    <xdr:to>
      <xdr:col>17</xdr:col>
      <xdr:colOff>523875</xdr:colOff>
      <xdr:row>18</xdr:row>
      <xdr:rowOff>166687</xdr:rowOff>
    </xdr:to>
    <xdr:sp macro="" textlink="">
      <xdr:nvSpPr>
        <xdr:cNvPr id="22" name="Retângulo: Cantos Superiores Arredondados 21">
          <a:extLst>
            <a:ext uri="{FF2B5EF4-FFF2-40B4-BE49-F238E27FC236}">
              <a16:creationId xmlns:a16="http://schemas.microsoft.com/office/drawing/2014/main" id="{63046B2D-861C-4164-A1DD-5474DF5E6F01}"/>
            </a:ext>
          </a:extLst>
        </xdr:cNvPr>
        <xdr:cNvSpPr/>
      </xdr:nvSpPr>
      <xdr:spPr>
        <a:xfrm>
          <a:off x="2012155" y="3178969"/>
          <a:ext cx="9608345" cy="642937"/>
        </a:xfrm>
        <a:prstGeom prst="round2SameRect">
          <a:avLst>
            <a:gd name="adj1" fmla="val 50000"/>
            <a:gd name="adj2" fmla="val 0"/>
          </a:avLst>
        </a:prstGeom>
        <a:solidFill>
          <a:srgbClr val="107C1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800" b="1" baseline="0">
              <a:latin typeface="Segoe UI" panose="020B0502040204020203" pitchFamily="34" charset="0"/>
              <a:cs typeface="Segoe UI" panose="020B0502040204020203" pitchFamily="34" charset="0"/>
            </a:rPr>
            <a:t> VENDAS ASSINATURAS - XBOX GAMES PASS</a:t>
          </a:r>
        </a:p>
        <a:p>
          <a:pPr algn="ctr"/>
          <a:endParaRPr lang="pt-BR" sz="16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607220</xdr:colOff>
      <xdr:row>1</xdr:row>
      <xdr:rowOff>35719</xdr:rowOff>
    </xdr:from>
    <xdr:to>
      <xdr:col>0</xdr:col>
      <xdr:colOff>1302545</xdr:colOff>
      <xdr:row>4</xdr:row>
      <xdr:rowOff>28575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A512618F-A824-4A83-BC56-F76A00E5CCB1}"/>
            </a:ext>
          </a:extLst>
        </xdr:cNvPr>
        <xdr:cNvSpPr/>
      </xdr:nvSpPr>
      <xdr:spPr>
        <a:xfrm>
          <a:off x="607220" y="226219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464344</xdr:colOff>
      <xdr:row>5</xdr:row>
      <xdr:rowOff>35718</xdr:rowOff>
    </xdr:from>
    <xdr:to>
      <xdr:col>0</xdr:col>
      <xdr:colOff>1381125</xdr:colOff>
      <xdr:row>6</xdr:row>
      <xdr:rowOff>202406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372BB296-2CB2-D151-0DCA-F3175DE4F961}"/>
            </a:ext>
          </a:extLst>
        </xdr:cNvPr>
        <xdr:cNvSpPr/>
      </xdr:nvSpPr>
      <xdr:spPr>
        <a:xfrm>
          <a:off x="464344" y="1059656"/>
          <a:ext cx="916781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/>
            <a:t>&gt; Olá</a:t>
          </a:r>
          <a:r>
            <a:rPr lang="pt-BR" sz="1400" baseline="0"/>
            <a:t>, Ana</a:t>
          </a:r>
          <a:endParaRPr lang="pt-BR" sz="1400"/>
        </a:p>
      </xdr:txBody>
    </xdr:sp>
    <xdr:clientData/>
  </xdr:twoCellAnchor>
  <xdr:twoCellAnchor>
    <xdr:from>
      <xdr:col>1</xdr:col>
      <xdr:colOff>47623</xdr:colOff>
      <xdr:row>3</xdr:row>
      <xdr:rowOff>59531</xdr:rowOff>
    </xdr:from>
    <xdr:to>
      <xdr:col>11</xdr:col>
      <xdr:colOff>202406</xdr:colOff>
      <xdr:row>6</xdr:row>
      <xdr:rowOff>0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A17CE5E0-4C79-4165-BF46-4D9FC9D2D86E}"/>
            </a:ext>
          </a:extLst>
        </xdr:cNvPr>
        <xdr:cNvSpPr/>
      </xdr:nvSpPr>
      <xdr:spPr>
        <a:xfrm>
          <a:off x="1976436" y="857250"/>
          <a:ext cx="5857876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rgbClr val="107C10"/>
              </a:solidFill>
            </a:rPr>
            <a:t>Data</a:t>
          </a:r>
          <a:r>
            <a:rPr lang="pt-BR" sz="1100" baseline="0">
              <a:solidFill>
                <a:srgbClr val="107C10"/>
              </a:solidFill>
            </a:rPr>
            <a:t> dos dados: 01/01/2024 - 31/12/2024 | Data da atualização: 21/01/2026 21:54</a:t>
          </a:r>
        </a:p>
        <a:p>
          <a:pPr algn="l"/>
          <a:endParaRPr lang="pt-BR" sz="1100">
            <a:solidFill>
              <a:srgbClr val="107C1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 Regaçoni" refreshedDate="46043.832175347219" createdVersion="8" refreshedVersion="8" minRefreshableVersion="3" recordCount="295" xr:uid="{57F1CF14-BA15-4DBF-A5D0-73527D4DE95A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500328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x v="0"/>
    <x v="0"/>
    <n v="20"/>
    <x v="0"/>
    <n v="60"/>
  </r>
  <r>
    <n v="3232"/>
    <x v="1"/>
    <x v="1"/>
    <d v="2024-01-15T00:00:00"/>
    <x v="1"/>
    <x v="1"/>
    <x v="1"/>
    <s v="No"/>
    <x v="1"/>
    <x v="1"/>
    <n v="0"/>
    <x v="1"/>
    <n v="5"/>
  </r>
  <r>
    <n v="3233"/>
    <x v="2"/>
    <x v="2"/>
    <d v="2024-02-10T00:00:00"/>
    <x v="0"/>
    <x v="2"/>
    <x v="2"/>
    <s v="No"/>
    <x v="1"/>
    <x v="0"/>
    <n v="20"/>
    <x v="2"/>
    <n v="20"/>
  </r>
  <r>
    <n v="3234"/>
    <x v="3"/>
    <x v="0"/>
    <d v="2024-02-20T00:00:00"/>
    <x v="1"/>
    <x v="0"/>
    <x v="0"/>
    <s v="Yes"/>
    <x v="0"/>
    <x v="0"/>
    <n v="20"/>
    <x v="3"/>
    <n v="62"/>
  </r>
  <r>
    <n v="3235"/>
    <x v="4"/>
    <x v="1"/>
    <d v="2024-03-05T00:00:00"/>
    <x v="0"/>
    <x v="1"/>
    <x v="0"/>
    <s v="No"/>
    <x v="1"/>
    <x v="1"/>
    <n v="0"/>
    <x v="4"/>
    <n v="4"/>
  </r>
  <r>
    <n v="3236"/>
    <x v="5"/>
    <x v="2"/>
    <d v="2024-03-02T00:00:00"/>
    <x v="1"/>
    <x v="2"/>
    <x v="0"/>
    <s v="No"/>
    <x v="1"/>
    <x v="0"/>
    <n v="20"/>
    <x v="5"/>
    <n v="28"/>
  </r>
  <r>
    <n v="3237"/>
    <x v="6"/>
    <x v="0"/>
    <d v="2024-03-03T00:00:00"/>
    <x v="0"/>
    <x v="0"/>
    <x v="2"/>
    <s v="Yes"/>
    <x v="0"/>
    <x v="0"/>
    <n v="20"/>
    <x v="2"/>
    <n v="55"/>
  </r>
  <r>
    <n v="3238"/>
    <x v="7"/>
    <x v="1"/>
    <d v="2024-03-04T00:00:00"/>
    <x v="0"/>
    <x v="1"/>
    <x v="1"/>
    <s v="No"/>
    <x v="1"/>
    <x v="1"/>
    <n v="0"/>
    <x v="1"/>
    <n v="5"/>
  </r>
  <r>
    <n v="3239"/>
    <x v="8"/>
    <x v="0"/>
    <d v="2024-03-05T00:00:00"/>
    <x v="1"/>
    <x v="0"/>
    <x v="0"/>
    <s v="Yes"/>
    <x v="0"/>
    <x v="0"/>
    <n v="20"/>
    <x v="0"/>
    <n v="60"/>
  </r>
  <r>
    <n v="3240"/>
    <x v="9"/>
    <x v="2"/>
    <d v="2024-03-06T00:00:00"/>
    <x v="0"/>
    <x v="2"/>
    <x v="2"/>
    <s v="No"/>
    <x v="1"/>
    <x v="0"/>
    <n v="20"/>
    <x v="6"/>
    <n v="15"/>
  </r>
  <r>
    <n v="3241"/>
    <x v="10"/>
    <x v="1"/>
    <d v="2024-03-07T00:00:00"/>
    <x v="1"/>
    <x v="1"/>
    <x v="0"/>
    <s v="No"/>
    <x v="1"/>
    <x v="1"/>
    <n v="0"/>
    <x v="4"/>
    <n v="4"/>
  </r>
  <r>
    <n v="3242"/>
    <x v="11"/>
    <x v="0"/>
    <d v="2024-03-08T00:00:00"/>
    <x v="0"/>
    <x v="0"/>
    <x v="1"/>
    <s v="Yes"/>
    <x v="0"/>
    <x v="0"/>
    <n v="20"/>
    <x v="7"/>
    <n v="45"/>
  </r>
  <r>
    <n v="3243"/>
    <x v="12"/>
    <x v="2"/>
    <d v="2024-03-09T00:00:00"/>
    <x v="1"/>
    <x v="2"/>
    <x v="0"/>
    <s v="No"/>
    <x v="1"/>
    <x v="0"/>
    <n v="20"/>
    <x v="2"/>
    <n v="20"/>
  </r>
  <r>
    <n v="3244"/>
    <x v="13"/>
    <x v="1"/>
    <d v="2024-03-10T00:00:00"/>
    <x v="0"/>
    <x v="1"/>
    <x v="2"/>
    <s v="No"/>
    <x v="1"/>
    <x v="1"/>
    <n v="0"/>
    <x v="1"/>
    <n v="5"/>
  </r>
  <r>
    <n v="3245"/>
    <x v="14"/>
    <x v="0"/>
    <d v="2024-03-11T00:00:00"/>
    <x v="1"/>
    <x v="0"/>
    <x v="0"/>
    <s v="Yes"/>
    <x v="0"/>
    <x v="0"/>
    <n v="20"/>
    <x v="8"/>
    <n v="57"/>
  </r>
  <r>
    <n v="3246"/>
    <x v="15"/>
    <x v="2"/>
    <d v="2024-03-12T00:00:00"/>
    <x v="0"/>
    <x v="2"/>
    <x v="1"/>
    <s v="No"/>
    <x v="1"/>
    <x v="0"/>
    <n v="20"/>
    <x v="9"/>
    <n v="18"/>
  </r>
  <r>
    <n v="3247"/>
    <x v="16"/>
    <x v="1"/>
    <d v="2024-03-13T00:00:00"/>
    <x v="1"/>
    <x v="1"/>
    <x v="0"/>
    <s v="No"/>
    <x v="1"/>
    <x v="1"/>
    <n v="0"/>
    <x v="5"/>
    <n v="3"/>
  </r>
  <r>
    <n v="3248"/>
    <x v="17"/>
    <x v="0"/>
    <d v="2024-03-14T00:00:00"/>
    <x v="0"/>
    <x v="0"/>
    <x v="2"/>
    <s v="Yes"/>
    <x v="0"/>
    <x v="0"/>
    <n v="20"/>
    <x v="10"/>
    <n v="58"/>
  </r>
  <r>
    <n v="3249"/>
    <x v="18"/>
    <x v="2"/>
    <d v="2024-03-15T00:00:00"/>
    <x v="1"/>
    <x v="2"/>
    <x v="0"/>
    <s v="No"/>
    <x v="1"/>
    <x v="0"/>
    <n v="20"/>
    <x v="0"/>
    <n v="25"/>
  </r>
  <r>
    <n v="3250"/>
    <x v="19"/>
    <x v="1"/>
    <d v="2024-03-16T00:00:00"/>
    <x v="0"/>
    <x v="1"/>
    <x v="1"/>
    <s v="No"/>
    <x v="1"/>
    <x v="1"/>
    <n v="0"/>
    <x v="1"/>
    <n v="5"/>
  </r>
  <r>
    <n v="3251"/>
    <x v="20"/>
    <x v="0"/>
    <d v="2024-03-17T00:00:00"/>
    <x v="1"/>
    <x v="0"/>
    <x v="0"/>
    <s v="Yes"/>
    <x v="0"/>
    <x v="0"/>
    <n v="20"/>
    <x v="3"/>
    <n v="62"/>
  </r>
  <r>
    <n v="3252"/>
    <x v="21"/>
    <x v="2"/>
    <d v="2024-03-18T00:00:00"/>
    <x v="0"/>
    <x v="2"/>
    <x v="2"/>
    <s v="No"/>
    <x v="1"/>
    <x v="0"/>
    <n v="20"/>
    <x v="6"/>
    <n v="15"/>
  </r>
  <r>
    <n v="3253"/>
    <x v="22"/>
    <x v="1"/>
    <d v="2024-03-19T00:00:00"/>
    <x v="1"/>
    <x v="1"/>
    <x v="0"/>
    <s v="No"/>
    <x v="1"/>
    <x v="1"/>
    <n v="0"/>
    <x v="4"/>
    <n v="4"/>
  </r>
  <r>
    <n v="3254"/>
    <x v="23"/>
    <x v="0"/>
    <d v="2024-03-20T00:00:00"/>
    <x v="0"/>
    <x v="0"/>
    <x v="1"/>
    <s v="Yes"/>
    <x v="0"/>
    <x v="0"/>
    <n v="20"/>
    <x v="7"/>
    <n v="45"/>
  </r>
  <r>
    <n v="3255"/>
    <x v="24"/>
    <x v="2"/>
    <d v="2024-03-21T00:00:00"/>
    <x v="1"/>
    <x v="2"/>
    <x v="0"/>
    <s v="No"/>
    <x v="1"/>
    <x v="0"/>
    <n v="20"/>
    <x v="2"/>
    <n v="20"/>
  </r>
  <r>
    <n v="3256"/>
    <x v="25"/>
    <x v="1"/>
    <d v="2024-03-22T00:00:00"/>
    <x v="0"/>
    <x v="1"/>
    <x v="2"/>
    <s v="No"/>
    <x v="1"/>
    <x v="1"/>
    <n v="0"/>
    <x v="1"/>
    <n v="5"/>
  </r>
  <r>
    <n v="3257"/>
    <x v="26"/>
    <x v="0"/>
    <d v="2024-03-23T00:00:00"/>
    <x v="1"/>
    <x v="0"/>
    <x v="0"/>
    <s v="Yes"/>
    <x v="0"/>
    <x v="0"/>
    <n v="20"/>
    <x v="0"/>
    <n v="60"/>
  </r>
  <r>
    <n v="3258"/>
    <x v="27"/>
    <x v="2"/>
    <d v="2024-03-24T00:00:00"/>
    <x v="0"/>
    <x v="2"/>
    <x v="1"/>
    <s v="No"/>
    <x v="1"/>
    <x v="0"/>
    <n v="20"/>
    <x v="6"/>
    <n v="15"/>
  </r>
  <r>
    <n v="3259"/>
    <x v="28"/>
    <x v="1"/>
    <d v="2024-03-25T00:00:00"/>
    <x v="1"/>
    <x v="1"/>
    <x v="0"/>
    <s v="No"/>
    <x v="1"/>
    <x v="1"/>
    <n v="0"/>
    <x v="4"/>
    <n v="4"/>
  </r>
  <r>
    <n v="3260"/>
    <x v="29"/>
    <x v="0"/>
    <d v="2024-03-26T00:00:00"/>
    <x v="0"/>
    <x v="0"/>
    <x v="2"/>
    <s v="Yes"/>
    <x v="0"/>
    <x v="0"/>
    <n v="20"/>
    <x v="10"/>
    <n v="58"/>
  </r>
  <r>
    <n v="3261"/>
    <x v="30"/>
    <x v="2"/>
    <d v="2024-03-27T00:00:00"/>
    <x v="1"/>
    <x v="2"/>
    <x v="0"/>
    <s v="No"/>
    <x v="1"/>
    <x v="0"/>
    <n v="20"/>
    <x v="2"/>
    <n v="20"/>
  </r>
  <r>
    <n v="3262"/>
    <x v="31"/>
    <x v="1"/>
    <d v="2024-03-28T00:00:00"/>
    <x v="0"/>
    <x v="1"/>
    <x v="1"/>
    <s v="No"/>
    <x v="1"/>
    <x v="1"/>
    <n v="0"/>
    <x v="1"/>
    <n v="5"/>
  </r>
  <r>
    <n v="3263"/>
    <x v="32"/>
    <x v="0"/>
    <d v="2024-03-29T00:00:00"/>
    <x v="1"/>
    <x v="0"/>
    <x v="0"/>
    <s v="Yes"/>
    <x v="0"/>
    <x v="0"/>
    <n v="20"/>
    <x v="3"/>
    <n v="62"/>
  </r>
  <r>
    <n v="3264"/>
    <x v="33"/>
    <x v="2"/>
    <d v="2024-03-30T00:00:00"/>
    <x v="0"/>
    <x v="2"/>
    <x v="2"/>
    <s v="No"/>
    <x v="1"/>
    <x v="0"/>
    <n v="20"/>
    <x v="6"/>
    <n v="15"/>
  </r>
  <r>
    <n v="3265"/>
    <x v="34"/>
    <x v="1"/>
    <d v="2024-03-31T00:00:00"/>
    <x v="1"/>
    <x v="1"/>
    <x v="0"/>
    <s v="No"/>
    <x v="1"/>
    <x v="1"/>
    <n v="0"/>
    <x v="4"/>
    <n v="4"/>
  </r>
  <r>
    <n v="3266"/>
    <x v="35"/>
    <x v="1"/>
    <d v="2024-04-01T00:00:00"/>
    <x v="0"/>
    <x v="1"/>
    <x v="0"/>
    <s v="No"/>
    <x v="1"/>
    <x v="1"/>
    <n v="0"/>
    <x v="1"/>
    <n v="5"/>
  </r>
  <r>
    <n v="3267"/>
    <x v="36"/>
    <x v="0"/>
    <d v="2024-04-02T00:00:00"/>
    <x v="1"/>
    <x v="0"/>
    <x v="2"/>
    <s v="Yes"/>
    <x v="0"/>
    <x v="0"/>
    <n v="20"/>
    <x v="10"/>
    <n v="58"/>
  </r>
  <r>
    <n v="3268"/>
    <x v="37"/>
    <x v="2"/>
    <d v="2024-04-03T00:00:00"/>
    <x v="0"/>
    <x v="2"/>
    <x v="1"/>
    <s v="No"/>
    <x v="1"/>
    <x v="0"/>
    <n v="20"/>
    <x v="2"/>
    <n v="20"/>
  </r>
  <r>
    <n v="3269"/>
    <x v="38"/>
    <x v="1"/>
    <d v="2024-04-04T00:00:00"/>
    <x v="1"/>
    <x v="1"/>
    <x v="2"/>
    <s v="No"/>
    <x v="1"/>
    <x v="1"/>
    <n v="0"/>
    <x v="4"/>
    <n v="4"/>
  </r>
  <r>
    <n v="3270"/>
    <x v="39"/>
    <x v="0"/>
    <d v="2024-04-05T00:00:00"/>
    <x v="0"/>
    <x v="0"/>
    <x v="0"/>
    <s v="Yes"/>
    <x v="0"/>
    <x v="0"/>
    <n v="20"/>
    <x v="6"/>
    <n v="50"/>
  </r>
  <r>
    <n v="3271"/>
    <x v="40"/>
    <x v="2"/>
    <d v="2024-04-06T00:00:00"/>
    <x v="1"/>
    <x v="2"/>
    <x v="0"/>
    <s v="No"/>
    <x v="1"/>
    <x v="0"/>
    <n v="20"/>
    <x v="0"/>
    <n v="25"/>
  </r>
  <r>
    <n v="3272"/>
    <x v="41"/>
    <x v="1"/>
    <d v="2024-04-07T00:00:00"/>
    <x v="0"/>
    <x v="1"/>
    <x v="1"/>
    <s v="No"/>
    <x v="1"/>
    <x v="1"/>
    <n v="0"/>
    <x v="1"/>
    <n v="5"/>
  </r>
  <r>
    <n v="3273"/>
    <x v="42"/>
    <x v="0"/>
    <d v="2024-04-08T00:00:00"/>
    <x v="1"/>
    <x v="0"/>
    <x v="2"/>
    <s v="Yes"/>
    <x v="0"/>
    <x v="0"/>
    <n v="20"/>
    <x v="7"/>
    <n v="45"/>
  </r>
  <r>
    <n v="3274"/>
    <x v="43"/>
    <x v="2"/>
    <d v="2024-04-09T00:00:00"/>
    <x v="0"/>
    <x v="2"/>
    <x v="2"/>
    <s v="No"/>
    <x v="1"/>
    <x v="0"/>
    <n v="20"/>
    <x v="9"/>
    <n v="18"/>
  </r>
  <r>
    <n v="3275"/>
    <x v="44"/>
    <x v="1"/>
    <d v="2024-04-10T00:00:00"/>
    <x v="1"/>
    <x v="1"/>
    <x v="0"/>
    <s v="No"/>
    <x v="1"/>
    <x v="1"/>
    <n v="0"/>
    <x v="5"/>
    <n v="3"/>
  </r>
  <r>
    <n v="3276"/>
    <x v="45"/>
    <x v="0"/>
    <d v="2024-04-11T00:00:00"/>
    <x v="0"/>
    <x v="0"/>
    <x v="1"/>
    <s v="Yes"/>
    <x v="0"/>
    <x v="0"/>
    <n v="20"/>
    <x v="0"/>
    <n v="60"/>
  </r>
  <r>
    <n v="3277"/>
    <x v="46"/>
    <x v="2"/>
    <d v="2024-04-12T00:00:00"/>
    <x v="1"/>
    <x v="2"/>
    <x v="0"/>
    <s v="No"/>
    <x v="1"/>
    <x v="0"/>
    <n v="20"/>
    <x v="2"/>
    <n v="20"/>
  </r>
  <r>
    <n v="3278"/>
    <x v="47"/>
    <x v="1"/>
    <d v="2024-04-13T00:00:00"/>
    <x v="0"/>
    <x v="1"/>
    <x v="2"/>
    <s v="No"/>
    <x v="1"/>
    <x v="1"/>
    <n v="0"/>
    <x v="1"/>
    <n v="5"/>
  </r>
  <r>
    <n v="3279"/>
    <x v="48"/>
    <x v="0"/>
    <d v="2024-04-14T00:00:00"/>
    <x v="1"/>
    <x v="0"/>
    <x v="0"/>
    <s v="Yes"/>
    <x v="0"/>
    <x v="0"/>
    <n v="20"/>
    <x v="3"/>
    <n v="62"/>
  </r>
  <r>
    <n v="3280"/>
    <x v="49"/>
    <x v="2"/>
    <d v="2024-04-15T00:00:00"/>
    <x v="0"/>
    <x v="2"/>
    <x v="1"/>
    <s v="No"/>
    <x v="1"/>
    <x v="0"/>
    <n v="20"/>
    <x v="6"/>
    <n v="15"/>
  </r>
  <r>
    <n v="3281"/>
    <x v="50"/>
    <x v="1"/>
    <d v="2024-04-16T00:00:00"/>
    <x v="1"/>
    <x v="1"/>
    <x v="0"/>
    <s v="No"/>
    <x v="1"/>
    <x v="1"/>
    <n v="0"/>
    <x v="4"/>
    <n v="4"/>
  </r>
  <r>
    <n v="3282"/>
    <x v="51"/>
    <x v="0"/>
    <d v="2024-04-17T00:00:00"/>
    <x v="0"/>
    <x v="0"/>
    <x v="2"/>
    <s v="Yes"/>
    <x v="0"/>
    <x v="0"/>
    <n v="20"/>
    <x v="10"/>
    <n v="58"/>
  </r>
  <r>
    <n v="3283"/>
    <x v="52"/>
    <x v="2"/>
    <d v="2024-04-18T00:00:00"/>
    <x v="1"/>
    <x v="2"/>
    <x v="0"/>
    <s v="No"/>
    <x v="1"/>
    <x v="0"/>
    <n v="20"/>
    <x v="2"/>
    <n v="20"/>
  </r>
  <r>
    <n v="3284"/>
    <x v="53"/>
    <x v="1"/>
    <d v="2024-04-19T00:00:00"/>
    <x v="0"/>
    <x v="1"/>
    <x v="1"/>
    <s v="No"/>
    <x v="1"/>
    <x v="1"/>
    <n v="0"/>
    <x v="1"/>
    <n v="5"/>
  </r>
  <r>
    <n v="3285"/>
    <x v="54"/>
    <x v="0"/>
    <d v="2024-04-20T00:00:00"/>
    <x v="1"/>
    <x v="0"/>
    <x v="0"/>
    <s v="Yes"/>
    <x v="0"/>
    <x v="0"/>
    <n v="20"/>
    <x v="7"/>
    <n v="45"/>
  </r>
  <r>
    <n v="3286"/>
    <x v="55"/>
    <x v="2"/>
    <d v="2024-04-21T00:00:00"/>
    <x v="0"/>
    <x v="2"/>
    <x v="2"/>
    <s v="No"/>
    <x v="1"/>
    <x v="0"/>
    <n v="20"/>
    <x v="6"/>
    <n v="15"/>
  </r>
  <r>
    <n v="3287"/>
    <x v="56"/>
    <x v="1"/>
    <d v="2024-04-22T00:00:00"/>
    <x v="1"/>
    <x v="1"/>
    <x v="0"/>
    <s v="No"/>
    <x v="1"/>
    <x v="1"/>
    <n v="0"/>
    <x v="4"/>
    <n v="4"/>
  </r>
  <r>
    <n v="3288"/>
    <x v="57"/>
    <x v="0"/>
    <d v="2024-04-23T00:00:00"/>
    <x v="0"/>
    <x v="0"/>
    <x v="1"/>
    <s v="Yes"/>
    <x v="0"/>
    <x v="0"/>
    <n v="20"/>
    <x v="3"/>
    <n v="62"/>
  </r>
  <r>
    <n v="3289"/>
    <x v="58"/>
    <x v="2"/>
    <d v="2024-04-24T00:00:00"/>
    <x v="1"/>
    <x v="2"/>
    <x v="0"/>
    <s v="No"/>
    <x v="1"/>
    <x v="0"/>
    <n v="20"/>
    <x v="2"/>
    <n v="20"/>
  </r>
  <r>
    <n v="3290"/>
    <x v="59"/>
    <x v="1"/>
    <d v="2024-04-25T00:00:00"/>
    <x v="0"/>
    <x v="1"/>
    <x v="2"/>
    <s v="No"/>
    <x v="1"/>
    <x v="1"/>
    <n v="0"/>
    <x v="1"/>
    <n v="5"/>
  </r>
  <r>
    <n v="3291"/>
    <x v="60"/>
    <x v="0"/>
    <d v="2024-04-26T00:00:00"/>
    <x v="1"/>
    <x v="0"/>
    <x v="0"/>
    <s v="Yes"/>
    <x v="0"/>
    <x v="0"/>
    <n v="20"/>
    <x v="0"/>
    <n v="60"/>
  </r>
  <r>
    <n v="3292"/>
    <x v="61"/>
    <x v="2"/>
    <d v="2024-04-27T00:00:00"/>
    <x v="0"/>
    <x v="2"/>
    <x v="1"/>
    <s v="No"/>
    <x v="1"/>
    <x v="0"/>
    <n v="20"/>
    <x v="6"/>
    <n v="15"/>
  </r>
  <r>
    <n v="3293"/>
    <x v="62"/>
    <x v="1"/>
    <d v="2024-04-28T00:00:00"/>
    <x v="1"/>
    <x v="1"/>
    <x v="0"/>
    <s v="No"/>
    <x v="1"/>
    <x v="1"/>
    <n v="0"/>
    <x v="4"/>
    <n v="4"/>
  </r>
  <r>
    <n v="3294"/>
    <x v="63"/>
    <x v="0"/>
    <d v="2024-04-29T00:00:00"/>
    <x v="0"/>
    <x v="0"/>
    <x v="2"/>
    <s v="Yes"/>
    <x v="0"/>
    <x v="0"/>
    <n v="20"/>
    <x v="7"/>
    <n v="45"/>
  </r>
  <r>
    <n v="3295"/>
    <x v="64"/>
    <x v="2"/>
    <d v="2024-04-30T00:00:00"/>
    <x v="1"/>
    <x v="2"/>
    <x v="0"/>
    <s v="No"/>
    <x v="1"/>
    <x v="0"/>
    <n v="20"/>
    <x v="0"/>
    <n v="25"/>
  </r>
  <r>
    <n v="3296"/>
    <x v="65"/>
    <x v="1"/>
    <d v="2024-05-01T00:00:00"/>
    <x v="1"/>
    <x v="1"/>
    <x v="0"/>
    <s v="No"/>
    <x v="1"/>
    <x v="1"/>
    <n v="0"/>
    <x v="1"/>
    <n v="5"/>
  </r>
  <r>
    <n v="3297"/>
    <x v="66"/>
    <x v="0"/>
    <d v="2024-05-02T00:00:00"/>
    <x v="0"/>
    <x v="0"/>
    <x v="2"/>
    <s v="Yes"/>
    <x v="0"/>
    <x v="0"/>
    <n v="20"/>
    <x v="10"/>
    <n v="58"/>
  </r>
  <r>
    <n v="3298"/>
    <x v="67"/>
    <x v="2"/>
    <d v="2024-05-03T00:00:00"/>
    <x v="1"/>
    <x v="2"/>
    <x v="1"/>
    <s v="No"/>
    <x v="1"/>
    <x v="0"/>
    <n v="20"/>
    <x v="2"/>
    <n v="20"/>
  </r>
  <r>
    <n v="3299"/>
    <x v="68"/>
    <x v="1"/>
    <d v="2024-05-04T00:00:00"/>
    <x v="0"/>
    <x v="1"/>
    <x v="2"/>
    <s v="No"/>
    <x v="1"/>
    <x v="1"/>
    <n v="0"/>
    <x v="4"/>
    <n v="4"/>
  </r>
  <r>
    <n v="3300"/>
    <x v="69"/>
    <x v="0"/>
    <d v="2024-05-05T00:00:00"/>
    <x v="1"/>
    <x v="0"/>
    <x v="0"/>
    <s v="Yes"/>
    <x v="0"/>
    <x v="0"/>
    <n v="20"/>
    <x v="6"/>
    <n v="50"/>
  </r>
  <r>
    <n v="3301"/>
    <x v="70"/>
    <x v="2"/>
    <d v="2024-05-06T00:00:00"/>
    <x v="0"/>
    <x v="2"/>
    <x v="0"/>
    <s v="No"/>
    <x v="1"/>
    <x v="0"/>
    <n v="20"/>
    <x v="0"/>
    <n v="25"/>
  </r>
  <r>
    <n v="3302"/>
    <x v="71"/>
    <x v="1"/>
    <d v="2024-05-07T00:00:00"/>
    <x v="1"/>
    <x v="1"/>
    <x v="1"/>
    <s v="No"/>
    <x v="1"/>
    <x v="1"/>
    <n v="0"/>
    <x v="1"/>
    <n v="5"/>
  </r>
  <r>
    <n v="3303"/>
    <x v="72"/>
    <x v="0"/>
    <d v="2024-05-08T00:00:00"/>
    <x v="0"/>
    <x v="0"/>
    <x v="2"/>
    <s v="Yes"/>
    <x v="0"/>
    <x v="0"/>
    <n v="20"/>
    <x v="7"/>
    <n v="45"/>
  </r>
  <r>
    <n v="3304"/>
    <x v="73"/>
    <x v="2"/>
    <d v="2024-05-09T00:00:00"/>
    <x v="1"/>
    <x v="2"/>
    <x v="2"/>
    <s v="No"/>
    <x v="1"/>
    <x v="0"/>
    <n v="20"/>
    <x v="9"/>
    <n v="18"/>
  </r>
  <r>
    <n v="3305"/>
    <x v="74"/>
    <x v="1"/>
    <d v="2024-05-10T00:00:00"/>
    <x v="0"/>
    <x v="1"/>
    <x v="0"/>
    <s v="No"/>
    <x v="1"/>
    <x v="1"/>
    <n v="0"/>
    <x v="5"/>
    <n v="3"/>
  </r>
  <r>
    <n v="3306"/>
    <x v="75"/>
    <x v="0"/>
    <d v="2024-05-11T00:00:00"/>
    <x v="1"/>
    <x v="0"/>
    <x v="1"/>
    <s v="Yes"/>
    <x v="0"/>
    <x v="0"/>
    <n v="20"/>
    <x v="0"/>
    <n v="60"/>
  </r>
  <r>
    <n v="3307"/>
    <x v="76"/>
    <x v="2"/>
    <d v="2024-05-12T00:00:00"/>
    <x v="0"/>
    <x v="2"/>
    <x v="0"/>
    <s v="No"/>
    <x v="1"/>
    <x v="0"/>
    <n v="20"/>
    <x v="2"/>
    <n v="20"/>
  </r>
  <r>
    <n v="3308"/>
    <x v="77"/>
    <x v="1"/>
    <d v="2024-05-13T00:00:00"/>
    <x v="1"/>
    <x v="1"/>
    <x v="2"/>
    <s v="No"/>
    <x v="1"/>
    <x v="1"/>
    <n v="0"/>
    <x v="1"/>
    <n v="5"/>
  </r>
  <r>
    <n v="3309"/>
    <x v="78"/>
    <x v="0"/>
    <d v="2024-05-14T00:00:00"/>
    <x v="0"/>
    <x v="0"/>
    <x v="0"/>
    <s v="Yes"/>
    <x v="0"/>
    <x v="0"/>
    <n v="20"/>
    <x v="3"/>
    <n v="62"/>
  </r>
  <r>
    <n v="3310"/>
    <x v="79"/>
    <x v="2"/>
    <d v="2024-05-15T00:00:00"/>
    <x v="1"/>
    <x v="2"/>
    <x v="1"/>
    <s v="No"/>
    <x v="1"/>
    <x v="0"/>
    <n v="20"/>
    <x v="6"/>
    <n v="15"/>
  </r>
  <r>
    <n v="3311"/>
    <x v="80"/>
    <x v="1"/>
    <d v="2024-05-16T00:00:00"/>
    <x v="0"/>
    <x v="1"/>
    <x v="0"/>
    <s v="No"/>
    <x v="1"/>
    <x v="1"/>
    <n v="0"/>
    <x v="4"/>
    <n v="4"/>
  </r>
  <r>
    <n v="3312"/>
    <x v="81"/>
    <x v="0"/>
    <d v="2024-05-17T00:00:00"/>
    <x v="1"/>
    <x v="0"/>
    <x v="2"/>
    <s v="Yes"/>
    <x v="0"/>
    <x v="0"/>
    <n v="20"/>
    <x v="10"/>
    <n v="58"/>
  </r>
  <r>
    <n v="3313"/>
    <x v="82"/>
    <x v="2"/>
    <d v="2024-05-18T00:00:00"/>
    <x v="0"/>
    <x v="2"/>
    <x v="0"/>
    <s v="No"/>
    <x v="1"/>
    <x v="0"/>
    <n v="20"/>
    <x v="2"/>
    <n v="20"/>
  </r>
  <r>
    <n v="3314"/>
    <x v="83"/>
    <x v="1"/>
    <d v="2024-05-19T00:00:00"/>
    <x v="1"/>
    <x v="1"/>
    <x v="1"/>
    <s v="No"/>
    <x v="1"/>
    <x v="1"/>
    <n v="0"/>
    <x v="1"/>
    <n v="5"/>
  </r>
  <r>
    <n v="3315"/>
    <x v="84"/>
    <x v="0"/>
    <d v="2024-05-20T00:00:00"/>
    <x v="0"/>
    <x v="0"/>
    <x v="0"/>
    <s v="Yes"/>
    <x v="0"/>
    <x v="0"/>
    <n v="20"/>
    <x v="7"/>
    <n v="45"/>
  </r>
  <r>
    <n v="3316"/>
    <x v="85"/>
    <x v="2"/>
    <d v="2024-05-21T00:00:00"/>
    <x v="1"/>
    <x v="2"/>
    <x v="2"/>
    <s v="No"/>
    <x v="1"/>
    <x v="0"/>
    <n v="20"/>
    <x v="6"/>
    <n v="15"/>
  </r>
  <r>
    <n v="3317"/>
    <x v="86"/>
    <x v="1"/>
    <d v="2024-05-22T00:00:00"/>
    <x v="0"/>
    <x v="1"/>
    <x v="0"/>
    <s v="No"/>
    <x v="1"/>
    <x v="1"/>
    <n v="0"/>
    <x v="4"/>
    <n v="4"/>
  </r>
  <r>
    <n v="3318"/>
    <x v="87"/>
    <x v="0"/>
    <d v="2024-05-23T00:00:00"/>
    <x v="1"/>
    <x v="0"/>
    <x v="1"/>
    <s v="Yes"/>
    <x v="0"/>
    <x v="0"/>
    <n v="20"/>
    <x v="3"/>
    <n v="62"/>
  </r>
  <r>
    <n v="3319"/>
    <x v="88"/>
    <x v="2"/>
    <d v="2024-05-24T00:00:00"/>
    <x v="0"/>
    <x v="2"/>
    <x v="0"/>
    <s v="No"/>
    <x v="1"/>
    <x v="0"/>
    <n v="20"/>
    <x v="2"/>
    <n v="20"/>
  </r>
  <r>
    <n v="3320"/>
    <x v="89"/>
    <x v="1"/>
    <d v="2024-05-25T00:00:00"/>
    <x v="1"/>
    <x v="1"/>
    <x v="2"/>
    <s v="No"/>
    <x v="1"/>
    <x v="1"/>
    <n v="0"/>
    <x v="1"/>
    <n v="5"/>
  </r>
  <r>
    <n v="3321"/>
    <x v="90"/>
    <x v="0"/>
    <d v="2024-05-26T00:00:00"/>
    <x v="0"/>
    <x v="0"/>
    <x v="0"/>
    <s v="Yes"/>
    <x v="0"/>
    <x v="0"/>
    <n v="20"/>
    <x v="0"/>
    <n v="60"/>
  </r>
  <r>
    <n v="3322"/>
    <x v="91"/>
    <x v="2"/>
    <d v="2024-05-27T00:00:00"/>
    <x v="1"/>
    <x v="2"/>
    <x v="1"/>
    <s v="No"/>
    <x v="1"/>
    <x v="0"/>
    <n v="20"/>
    <x v="6"/>
    <n v="15"/>
  </r>
  <r>
    <n v="3323"/>
    <x v="92"/>
    <x v="1"/>
    <d v="2024-05-28T00:00:00"/>
    <x v="0"/>
    <x v="1"/>
    <x v="0"/>
    <s v="No"/>
    <x v="1"/>
    <x v="1"/>
    <n v="0"/>
    <x v="4"/>
    <n v="4"/>
  </r>
  <r>
    <n v="3324"/>
    <x v="93"/>
    <x v="0"/>
    <d v="2024-05-29T00:00:00"/>
    <x v="1"/>
    <x v="0"/>
    <x v="2"/>
    <s v="Yes"/>
    <x v="0"/>
    <x v="0"/>
    <n v="20"/>
    <x v="7"/>
    <n v="45"/>
  </r>
  <r>
    <n v="3325"/>
    <x v="94"/>
    <x v="2"/>
    <d v="2024-05-30T00:00:00"/>
    <x v="0"/>
    <x v="2"/>
    <x v="2"/>
    <s v="No"/>
    <x v="1"/>
    <x v="0"/>
    <n v="20"/>
    <x v="6"/>
    <n v="15"/>
  </r>
  <r>
    <n v="3326"/>
    <x v="95"/>
    <x v="1"/>
    <d v="2024-05-31T00:00:00"/>
    <x v="1"/>
    <x v="1"/>
    <x v="1"/>
    <s v="No"/>
    <x v="1"/>
    <x v="1"/>
    <n v="0"/>
    <x v="1"/>
    <n v="5"/>
  </r>
  <r>
    <n v="3327"/>
    <x v="96"/>
    <x v="0"/>
    <d v="2024-06-01T00:00:00"/>
    <x v="0"/>
    <x v="0"/>
    <x v="0"/>
    <s v="Yes"/>
    <x v="0"/>
    <x v="0"/>
    <n v="20"/>
    <x v="10"/>
    <n v="58"/>
  </r>
  <r>
    <n v="3328"/>
    <x v="97"/>
    <x v="2"/>
    <d v="2024-06-02T00:00:00"/>
    <x v="1"/>
    <x v="2"/>
    <x v="1"/>
    <s v="No"/>
    <x v="1"/>
    <x v="0"/>
    <n v="20"/>
    <x v="2"/>
    <n v="20"/>
  </r>
  <r>
    <n v="3329"/>
    <x v="98"/>
    <x v="1"/>
    <d v="2024-06-03T00:00:00"/>
    <x v="0"/>
    <x v="1"/>
    <x v="2"/>
    <s v="No"/>
    <x v="1"/>
    <x v="1"/>
    <n v="0"/>
    <x v="4"/>
    <n v="4"/>
  </r>
  <r>
    <n v="3330"/>
    <x v="99"/>
    <x v="0"/>
    <d v="2024-06-04T00:00:00"/>
    <x v="1"/>
    <x v="0"/>
    <x v="0"/>
    <s v="Yes"/>
    <x v="0"/>
    <x v="0"/>
    <n v="20"/>
    <x v="6"/>
    <n v="50"/>
  </r>
  <r>
    <n v="3331"/>
    <x v="100"/>
    <x v="2"/>
    <d v="2024-06-05T00:00:00"/>
    <x v="0"/>
    <x v="2"/>
    <x v="0"/>
    <s v="No"/>
    <x v="1"/>
    <x v="0"/>
    <n v="20"/>
    <x v="0"/>
    <n v="25"/>
  </r>
  <r>
    <n v="3332"/>
    <x v="101"/>
    <x v="1"/>
    <d v="2024-06-06T00:00:00"/>
    <x v="1"/>
    <x v="1"/>
    <x v="1"/>
    <s v="No"/>
    <x v="1"/>
    <x v="1"/>
    <n v="0"/>
    <x v="1"/>
    <n v="5"/>
  </r>
  <r>
    <n v="3333"/>
    <x v="102"/>
    <x v="0"/>
    <d v="2024-06-07T00:00:00"/>
    <x v="0"/>
    <x v="0"/>
    <x v="2"/>
    <s v="Yes"/>
    <x v="0"/>
    <x v="0"/>
    <n v="20"/>
    <x v="7"/>
    <n v="45"/>
  </r>
  <r>
    <n v="3334"/>
    <x v="103"/>
    <x v="2"/>
    <d v="2024-06-08T00:00:00"/>
    <x v="1"/>
    <x v="2"/>
    <x v="2"/>
    <s v="No"/>
    <x v="1"/>
    <x v="0"/>
    <n v="20"/>
    <x v="9"/>
    <n v="18"/>
  </r>
  <r>
    <n v="3335"/>
    <x v="104"/>
    <x v="1"/>
    <d v="2024-06-09T00:00:00"/>
    <x v="0"/>
    <x v="1"/>
    <x v="0"/>
    <s v="No"/>
    <x v="1"/>
    <x v="1"/>
    <n v="0"/>
    <x v="5"/>
    <n v="3"/>
  </r>
  <r>
    <n v="3336"/>
    <x v="105"/>
    <x v="1"/>
    <d v="2024-06-10T00:00:00"/>
    <x v="0"/>
    <x v="1"/>
    <x v="0"/>
    <s v="No"/>
    <x v="1"/>
    <x v="1"/>
    <n v="0"/>
    <x v="1"/>
    <n v="5"/>
  </r>
  <r>
    <n v="3337"/>
    <x v="106"/>
    <x v="0"/>
    <d v="2024-06-11T00:00:00"/>
    <x v="1"/>
    <x v="0"/>
    <x v="2"/>
    <s v="Yes"/>
    <x v="0"/>
    <x v="0"/>
    <n v="20"/>
    <x v="10"/>
    <n v="58"/>
  </r>
  <r>
    <n v="3338"/>
    <x v="107"/>
    <x v="2"/>
    <d v="2024-06-12T00:00:00"/>
    <x v="0"/>
    <x v="2"/>
    <x v="1"/>
    <s v="No"/>
    <x v="1"/>
    <x v="0"/>
    <n v="20"/>
    <x v="2"/>
    <n v="20"/>
  </r>
  <r>
    <n v="3339"/>
    <x v="108"/>
    <x v="1"/>
    <d v="2024-06-13T00:00:00"/>
    <x v="1"/>
    <x v="1"/>
    <x v="2"/>
    <s v="No"/>
    <x v="1"/>
    <x v="1"/>
    <n v="0"/>
    <x v="4"/>
    <n v="4"/>
  </r>
  <r>
    <n v="3340"/>
    <x v="109"/>
    <x v="0"/>
    <d v="2024-06-14T00:00:00"/>
    <x v="0"/>
    <x v="0"/>
    <x v="0"/>
    <s v="Yes"/>
    <x v="0"/>
    <x v="0"/>
    <n v="20"/>
    <x v="6"/>
    <n v="50"/>
  </r>
  <r>
    <n v="3341"/>
    <x v="110"/>
    <x v="2"/>
    <d v="2024-06-15T00:00:00"/>
    <x v="1"/>
    <x v="2"/>
    <x v="0"/>
    <s v="No"/>
    <x v="1"/>
    <x v="0"/>
    <n v="20"/>
    <x v="0"/>
    <n v="25"/>
  </r>
  <r>
    <n v="3342"/>
    <x v="111"/>
    <x v="1"/>
    <d v="2024-06-16T00:00:00"/>
    <x v="0"/>
    <x v="1"/>
    <x v="1"/>
    <s v="No"/>
    <x v="1"/>
    <x v="1"/>
    <n v="0"/>
    <x v="1"/>
    <n v="5"/>
  </r>
  <r>
    <n v="3343"/>
    <x v="112"/>
    <x v="0"/>
    <d v="2024-06-17T00:00:00"/>
    <x v="1"/>
    <x v="0"/>
    <x v="2"/>
    <s v="Yes"/>
    <x v="0"/>
    <x v="0"/>
    <n v="20"/>
    <x v="7"/>
    <n v="45"/>
  </r>
  <r>
    <n v="3344"/>
    <x v="113"/>
    <x v="2"/>
    <d v="2024-06-18T00:00:00"/>
    <x v="0"/>
    <x v="2"/>
    <x v="2"/>
    <s v="No"/>
    <x v="1"/>
    <x v="0"/>
    <n v="20"/>
    <x v="9"/>
    <n v="18"/>
  </r>
  <r>
    <n v="3345"/>
    <x v="114"/>
    <x v="1"/>
    <d v="2024-06-19T00:00:00"/>
    <x v="1"/>
    <x v="1"/>
    <x v="0"/>
    <s v="No"/>
    <x v="1"/>
    <x v="1"/>
    <n v="0"/>
    <x v="5"/>
    <n v="3"/>
  </r>
  <r>
    <n v="3346"/>
    <x v="115"/>
    <x v="0"/>
    <d v="2024-06-20T00:00:00"/>
    <x v="0"/>
    <x v="0"/>
    <x v="1"/>
    <s v="Yes"/>
    <x v="0"/>
    <x v="0"/>
    <n v="20"/>
    <x v="0"/>
    <n v="60"/>
  </r>
  <r>
    <n v="3347"/>
    <x v="116"/>
    <x v="2"/>
    <d v="2024-06-21T00:00:00"/>
    <x v="1"/>
    <x v="2"/>
    <x v="0"/>
    <s v="No"/>
    <x v="1"/>
    <x v="0"/>
    <n v="20"/>
    <x v="2"/>
    <n v="20"/>
  </r>
  <r>
    <n v="3348"/>
    <x v="117"/>
    <x v="1"/>
    <d v="2024-06-22T00:00:00"/>
    <x v="0"/>
    <x v="1"/>
    <x v="2"/>
    <s v="No"/>
    <x v="1"/>
    <x v="1"/>
    <n v="0"/>
    <x v="1"/>
    <n v="5"/>
  </r>
  <r>
    <n v="3349"/>
    <x v="93"/>
    <x v="0"/>
    <d v="2024-06-23T00:00:00"/>
    <x v="1"/>
    <x v="0"/>
    <x v="0"/>
    <s v="Yes"/>
    <x v="0"/>
    <x v="0"/>
    <n v="20"/>
    <x v="3"/>
    <n v="62"/>
  </r>
  <r>
    <n v="3350"/>
    <x v="118"/>
    <x v="2"/>
    <d v="2024-06-24T00:00:00"/>
    <x v="0"/>
    <x v="2"/>
    <x v="1"/>
    <s v="No"/>
    <x v="1"/>
    <x v="0"/>
    <n v="20"/>
    <x v="6"/>
    <n v="15"/>
  </r>
  <r>
    <n v="3351"/>
    <x v="119"/>
    <x v="1"/>
    <d v="2024-06-25T00:00:00"/>
    <x v="1"/>
    <x v="1"/>
    <x v="0"/>
    <s v="No"/>
    <x v="1"/>
    <x v="1"/>
    <n v="0"/>
    <x v="4"/>
    <n v="4"/>
  </r>
  <r>
    <n v="3352"/>
    <x v="120"/>
    <x v="0"/>
    <d v="2024-06-26T00:00:00"/>
    <x v="0"/>
    <x v="0"/>
    <x v="2"/>
    <s v="Yes"/>
    <x v="0"/>
    <x v="0"/>
    <n v="20"/>
    <x v="10"/>
    <n v="58"/>
  </r>
  <r>
    <n v="3353"/>
    <x v="121"/>
    <x v="2"/>
    <d v="2024-06-27T00:00:00"/>
    <x v="1"/>
    <x v="2"/>
    <x v="0"/>
    <s v="No"/>
    <x v="1"/>
    <x v="0"/>
    <n v="20"/>
    <x v="2"/>
    <n v="20"/>
  </r>
  <r>
    <n v="3354"/>
    <x v="122"/>
    <x v="1"/>
    <d v="2024-06-28T00:00:00"/>
    <x v="0"/>
    <x v="1"/>
    <x v="1"/>
    <s v="No"/>
    <x v="1"/>
    <x v="1"/>
    <n v="0"/>
    <x v="1"/>
    <n v="5"/>
  </r>
  <r>
    <n v="3355"/>
    <x v="123"/>
    <x v="0"/>
    <d v="2024-06-29T00:00:00"/>
    <x v="1"/>
    <x v="0"/>
    <x v="0"/>
    <s v="Yes"/>
    <x v="0"/>
    <x v="0"/>
    <n v="20"/>
    <x v="7"/>
    <n v="45"/>
  </r>
  <r>
    <n v="3356"/>
    <x v="124"/>
    <x v="2"/>
    <d v="2024-06-30T00:00:00"/>
    <x v="0"/>
    <x v="2"/>
    <x v="2"/>
    <s v="No"/>
    <x v="1"/>
    <x v="0"/>
    <n v="20"/>
    <x v="6"/>
    <n v="15"/>
  </r>
  <r>
    <n v="3357"/>
    <x v="125"/>
    <x v="1"/>
    <d v="2024-07-01T00:00:00"/>
    <x v="1"/>
    <x v="1"/>
    <x v="0"/>
    <s v="No"/>
    <x v="1"/>
    <x v="1"/>
    <n v="0"/>
    <x v="4"/>
    <n v="4"/>
  </r>
  <r>
    <n v="3358"/>
    <x v="126"/>
    <x v="0"/>
    <d v="2024-07-02T00:00:00"/>
    <x v="0"/>
    <x v="0"/>
    <x v="1"/>
    <s v="Yes"/>
    <x v="0"/>
    <x v="0"/>
    <n v="20"/>
    <x v="3"/>
    <n v="62"/>
  </r>
  <r>
    <n v="3359"/>
    <x v="127"/>
    <x v="2"/>
    <d v="2024-07-03T00:00:00"/>
    <x v="1"/>
    <x v="2"/>
    <x v="0"/>
    <s v="No"/>
    <x v="1"/>
    <x v="0"/>
    <n v="20"/>
    <x v="2"/>
    <n v="20"/>
  </r>
  <r>
    <n v="3360"/>
    <x v="128"/>
    <x v="1"/>
    <d v="2024-07-04T00:00:00"/>
    <x v="0"/>
    <x v="1"/>
    <x v="2"/>
    <s v="No"/>
    <x v="1"/>
    <x v="1"/>
    <n v="0"/>
    <x v="1"/>
    <n v="5"/>
  </r>
  <r>
    <n v="3361"/>
    <x v="129"/>
    <x v="0"/>
    <d v="2024-07-05T00:00:00"/>
    <x v="1"/>
    <x v="0"/>
    <x v="0"/>
    <s v="Yes"/>
    <x v="0"/>
    <x v="0"/>
    <n v="20"/>
    <x v="6"/>
    <n v="50"/>
  </r>
  <r>
    <n v="3362"/>
    <x v="130"/>
    <x v="2"/>
    <d v="2024-07-06T00:00:00"/>
    <x v="0"/>
    <x v="2"/>
    <x v="1"/>
    <s v="No"/>
    <x v="1"/>
    <x v="0"/>
    <n v="20"/>
    <x v="6"/>
    <n v="15"/>
  </r>
  <r>
    <n v="3363"/>
    <x v="131"/>
    <x v="1"/>
    <d v="2024-07-07T00:00:00"/>
    <x v="1"/>
    <x v="1"/>
    <x v="0"/>
    <s v="No"/>
    <x v="1"/>
    <x v="1"/>
    <n v="0"/>
    <x v="4"/>
    <n v="4"/>
  </r>
  <r>
    <n v="3364"/>
    <x v="132"/>
    <x v="0"/>
    <d v="2024-07-08T00:00:00"/>
    <x v="0"/>
    <x v="0"/>
    <x v="2"/>
    <s v="Yes"/>
    <x v="0"/>
    <x v="0"/>
    <n v="20"/>
    <x v="10"/>
    <n v="58"/>
  </r>
  <r>
    <n v="3365"/>
    <x v="133"/>
    <x v="2"/>
    <d v="2024-07-09T00:00:00"/>
    <x v="1"/>
    <x v="2"/>
    <x v="0"/>
    <s v="No"/>
    <x v="1"/>
    <x v="0"/>
    <n v="20"/>
    <x v="2"/>
    <n v="20"/>
  </r>
  <r>
    <n v="3366"/>
    <x v="134"/>
    <x v="1"/>
    <d v="2024-07-10T00:00:00"/>
    <x v="0"/>
    <x v="1"/>
    <x v="0"/>
    <s v="No"/>
    <x v="1"/>
    <x v="1"/>
    <n v="0"/>
    <x v="1"/>
    <n v="5"/>
  </r>
  <r>
    <n v="3367"/>
    <x v="135"/>
    <x v="0"/>
    <d v="2024-07-11T00:00:00"/>
    <x v="1"/>
    <x v="0"/>
    <x v="2"/>
    <s v="Yes"/>
    <x v="0"/>
    <x v="0"/>
    <n v="20"/>
    <x v="10"/>
    <n v="58"/>
  </r>
  <r>
    <n v="3368"/>
    <x v="136"/>
    <x v="2"/>
    <d v="2024-07-12T00:00:00"/>
    <x v="0"/>
    <x v="2"/>
    <x v="1"/>
    <s v="No"/>
    <x v="1"/>
    <x v="0"/>
    <n v="20"/>
    <x v="2"/>
    <n v="20"/>
  </r>
  <r>
    <n v="3369"/>
    <x v="137"/>
    <x v="1"/>
    <d v="2024-07-13T00:00:00"/>
    <x v="1"/>
    <x v="1"/>
    <x v="2"/>
    <s v="No"/>
    <x v="1"/>
    <x v="1"/>
    <n v="0"/>
    <x v="4"/>
    <n v="4"/>
  </r>
  <r>
    <n v="3370"/>
    <x v="138"/>
    <x v="0"/>
    <d v="2024-07-14T00:00:00"/>
    <x v="0"/>
    <x v="0"/>
    <x v="0"/>
    <s v="Yes"/>
    <x v="0"/>
    <x v="0"/>
    <n v="20"/>
    <x v="6"/>
    <n v="50"/>
  </r>
  <r>
    <n v="3371"/>
    <x v="139"/>
    <x v="2"/>
    <d v="2024-07-15T00:00:00"/>
    <x v="1"/>
    <x v="2"/>
    <x v="0"/>
    <s v="No"/>
    <x v="1"/>
    <x v="0"/>
    <n v="20"/>
    <x v="0"/>
    <n v="25"/>
  </r>
  <r>
    <n v="3372"/>
    <x v="140"/>
    <x v="1"/>
    <d v="2024-07-16T00:00:00"/>
    <x v="0"/>
    <x v="1"/>
    <x v="1"/>
    <s v="No"/>
    <x v="1"/>
    <x v="1"/>
    <n v="0"/>
    <x v="1"/>
    <n v="5"/>
  </r>
  <r>
    <n v="3373"/>
    <x v="141"/>
    <x v="0"/>
    <d v="2024-07-17T00:00:00"/>
    <x v="1"/>
    <x v="0"/>
    <x v="2"/>
    <s v="Yes"/>
    <x v="0"/>
    <x v="0"/>
    <n v="20"/>
    <x v="7"/>
    <n v="45"/>
  </r>
  <r>
    <n v="3374"/>
    <x v="142"/>
    <x v="2"/>
    <d v="2024-07-18T00:00:00"/>
    <x v="0"/>
    <x v="2"/>
    <x v="2"/>
    <s v="No"/>
    <x v="1"/>
    <x v="0"/>
    <n v="20"/>
    <x v="9"/>
    <n v="18"/>
  </r>
  <r>
    <n v="3375"/>
    <x v="143"/>
    <x v="1"/>
    <d v="2024-07-19T00:00:00"/>
    <x v="1"/>
    <x v="1"/>
    <x v="0"/>
    <s v="No"/>
    <x v="1"/>
    <x v="1"/>
    <n v="0"/>
    <x v="5"/>
    <n v="3"/>
  </r>
  <r>
    <n v="3376"/>
    <x v="144"/>
    <x v="0"/>
    <d v="2024-07-20T00:00:00"/>
    <x v="0"/>
    <x v="0"/>
    <x v="1"/>
    <s v="Yes"/>
    <x v="0"/>
    <x v="0"/>
    <n v="20"/>
    <x v="0"/>
    <n v="60"/>
  </r>
  <r>
    <n v="3377"/>
    <x v="145"/>
    <x v="2"/>
    <d v="2024-07-21T00:00:00"/>
    <x v="1"/>
    <x v="2"/>
    <x v="0"/>
    <s v="No"/>
    <x v="1"/>
    <x v="0"/>
    <n v="20"/>
    <x v="2"/>
    <n v="20"/>
  </r>
  <r>
    <n v="3378"/>
    <x v="146"/>
    <x v="1"/>
    <d v="2024-07-22T00:00:00"/>
    <x v="0"/>
    <x v="1"/>
    <x v="2"/>
    <s v="No"/>
    <x v="1"/>
    <x v="1"/>
    <n v="0"/>
    <x v="1"/>
    <n v="5"/>
  </r>
  <r>
    <n v="3379"/>
    <x v="147"/>
    <x v="0"/>
    <d v="2024-07-23T00:00:00"/>
    <x v="1"/>
    <x v="0"/>
    <x v="0"/>
    <s v="Yes"/>
    <x v="0"/>
    <x v="0"/>
    <n v="20"/>
    <x v="3"/>
    <n v="62"/>
  </r>
  <r>
    <n v="3380"/>
    <x v="148"/>
    <x v="2"/>
    <d v="2024-07-24T00:00:00"/>
    <x v="0"/>
    <x v="2"/>
    <x v="1"/>
    <s v="No"/>
    <x v="1"/>
    <x v="0"/>
    <n v="20"/>
    <x v="6"/>
    <n v="15"/>
  </r>
  <r>
    <n v="3381"/>
    <x v="149"/>
    <x v="1"/>
    <d v="2024-07-25T00:00:00"/>
    <x v="1"/>
    <x v="1"/>
    <x v="0"/>
    <s v="No"/>
    <x v="1"/>
    <x v="1"/>
    <n v="0"/>
    <x v="4"/>
    <n v="4"/>
  </r>
  <r>
    <n v="3382"/>
    <x v="150"/>
    <x v="0"/>
    <d v="2024-07-26T00:00:00"/>
    <x v="0"/>
    <x v="0"/>
    <x v="2"/>
    <s v="Yes"/>
    <x v="0"/>
    <x v="0"/>
    <n v="20"/>
    <x v="10"/>
    <n v="58"/>
  </r>
  <r>
    <n v="3383"/>
    <x v="151"/>
    <x v="2"/>
    <d v="2024-07-27T00:00:00"/>
    <x v="1"/>
    <x v="2"/>
    <x v="0"/>
    <s v="No"/>
    <x v="1"/>
    <x v="0"/>
    <n v="20"/>
    <x v="2"/>
    <n v="20"/>
  </r>
  <r>
    <n v="3384"/>
    <x v="152"/>
    <x v="1"/>
    <d v="2024-07-28T00:00:00"/>
    <x v="0"/>
    <x v="1"/>
    <x v="1"/>
    <s v="No"/>
    <x v="1"/>
    <x v="1"/>
    <n v="0"/>
    <x v="1"/>
    <n v="5"/>
  </r>
  <r>
    <n v="3385"/>
    <x v="153"/>
    <x v="0"/>
    <d v="2024-07-29T00:00:00"/>
    <x v="1"/>
    <x v="0"/>
    <x v="0"/>
    <s v="Yes"/>
    <x v="0"/>
    <x v="0"/>
    <n v="20"/>
    <x v="7"/>
    <n v="45"/>
  </r>
  <r>
    <n v="3386"/>
    <x v="154"/>
    <x v="2"/>
    <d v="2024-07-30T00:00:00"/>
    <x v="0"/>
    <x v="2"/>
    <x v="2"/>
    <s v="No"/>
    <x v="1"/>
    <x v="0"/>
    <n v="20"/>
    <x v="6"/>
    <n v="15"/>
  </r>
  <r>
    <n v="3387"/>
    <x v="155"/>
    <x v="1"/>
    <d v="2024-07-31T00:00:00"/>
    <x v="1"/>
    <x v="1"/>
    <x v="0"/>
    <s v="No"/>
    <x v="1"/>
    <x v="1"/>
    <n v="0"/>
    <x v="4"/>
    <n v="4"/>
  </r>
  <r>
    <n v="3388"/>
    <x v="156"/>
    <x v="0"/>
    <d v="2024-08-01T00:00:00"/>
    <x v="0"/>
    <x v="0"/>
    <x v="1"/>
    <s v="Yes"/>
    <x v="0"/>
    <x v="0"/>
    <n v="20"/>
    <x v="3"/>
    <n v="62"/>
  </r>
  <r>
    <n v="3389"/>
    <x v="157"/>
    <x v="2"/>
    <d v="2024-08-02T00:00:00"/>
    <x v="1"/>
    <x v="2"/>
    <x v="0"/>
    <s v="No"/>
    <x v="1"/>
    <x v="0"/>
    <n v="20"/>
    <x v="2"/>
    <n v="20"/>
  </r>
  <r>
    <n v="3390"/>
    <x v="158"/>
    <x v="1"/>
    <d v="2024-08-03T00:00:00"/>
    <x v="0"/>
    <x v="1"/>
    <x v="2"/>
    <s v="No"/>
    <x v="1"/>
    <x v="1"/>
    <n v="0"/>
    <x v="1"/>
    <n v="5"/>
  </r>
  <r>
    <n v="3391"/>
    <x v="58"/>
    <x v="0"/>
    <d v="2024-08-04T00:00:00"/>
    <x v="1"/>
    <x v="0"/>
    <x v="0"/>
    <s v="Yes"/>
    <x v="0"/>
    <x v="0"/>
    <n v="20"/>
    <x v="6"/>
    <n v="50"/>
  </r>
  <r>
    <n v="3392"/>
    <x v="159"/>
    <x v="2"/>
    <d v="2024-08-05T00:00:00"/>
    <x v="0"/>
    <x v="2"/>
    <x v="1"/>
    <s v="No"/>
    <x v="1"/>
    <x v="0"/>
    <n v="20"/>
    <x v="6"/>
    <n v="15"/>
  </r>
  <r>
    <n v="3393"/>
    <x v="160"/>
    <x v="1"/>
    <d v="2024-08-06T00:00:00"/>
    <x v="1"/>
    <x v="1"/>
    <x v="0"/>
    <s v="No"/>
    <x v="1"/>
    <x v="1"/>
    <n v="0"/>
    <x v="4"/>
    <n v="4"/>
  </r>
  <r>
    <n v="3394"/>
    <x v="161"/>
    <x v="0"/>
    <d v="2024-08-07T00:00:00"/>
    <x v="0"/>
    <x v="0"/>
    <x v="2"/>
    <s v="Yes"/>
    <x v="0"/>
    <x v="0"/>
    <n v="20"/>
    <x v="10"/>
    <n v="58"/>
  </r>
  <r>
    <n v="3395"/>
    <x v="162"/>
    <x v="2"/>
    <d v="2024-08-08T00:00:00"/>
    <x v="1"/>
    <x v="2"/>
    <x v="0"/>
    <s v="No"/>
    <x v="1"/>
    <x v="0"/>
    <n v="20"/>
    <x v="2"/>
    <n v="20"/>
  </r>
  <r>
    <n v="3396"/>
    <x v="163"/>
    <x v="1"/>
    <d v="2024-08-09T00:00:00"/>
    <x v="0"/>
    <x v="1"/>
    <x v="1"/>
    <s v="No"/>
    <x v="1"/>
    <x v="1"/>
    <n v="0"/>
    <x v="1"/>
    <n v="5"/>
  </r>
  <r>
    <n v="3397"/>
    <x v="90"/>
    <x v="0"/>
    <d v="2024-08-10T00:00:00"/>
    <x v="1"/>
    <x v="0"/>
    <x v="0"/>
    <s v="Yes"/>
    <x v="0"/>
    <x v="0"/>
    <n v="20"/>
    <x v="7"/>
    <n v="45"/>
  </r>
  <r>
    <n v="3398"/>
    <x v="164"/>
    <x v="2"/>
    <d v="2024-08-11T00:00:00"/>
    <x v="0"/>
    <x v="2"/>
    <x v="2"/>
    <s v="No"/>
    <x v="1"/>
    <x v="0"/>
    <n v="20"/>
    <x v="6"/>
    <n v="15"/>
  </r>
  <r>
    <n v="3399"/>
    <x v="165"/>
    <x v="1"/>
    <d v="2024-08-12T00:00:00"/>
    <x v="1"/>
    <x v="1"/>
    <x v="0"/>
    <s v="No"/>
    <x v="1"/>
    <x v="1"/>
    <n v="0"/>
    <x v="4"/>
    <n v="4"/>
  </r>
  <r>
    <n v="3400"/>
    <x v="166"/>
    <x v="0"/>
    <d v="2024-08-13T00:00:00"/>
    <x v="0"/>
    <x v="0"/>
    <x v="1"/>
    <s v="Yes"/>
    <x v="0"/>
    <x v="0"/>
    <n v="20"/>
    <x v="0"/>
    <n v="60"/>
  </r>
  <r>
    <n v="3401"/>
    <x v="167"/>
    <x v="2"/>
    <d v="2024-08-14T00:00:00"/>
    <x v="1"/>
    <x v="2"/>
    <x v="0"/>
    <s v="No"/>
    <x v="1"/>
    <x v="0"/>
    <n v="20"/>
    <x v="2"/>
    <n v="20"/>
  </r>
  <r>
    <n v="3402"/>
    <x v="168"/>
    <x v="1"/>
    <d v="2024-08-15T00:00:00"/>
    <x v="0"/>
    <x v="1"/>
    <x v="2"/>
    <s v="No"/>
    <x v="1"/>
    <x v="1"/>
    <n v="0"/>
    <x v="1"/>
    <n v="5"/>
  </r>
  <r>
    <n v="3403"/>
    <x v="169"/>
    <x v="0"/>
    <d v="2024-08-16T00:00:00"/>
    <x v="1"/>
    <x v="0"/>
    <x v="0"/>
    <s v="Yes"/>
    <x v="0"/>
    <x v="0"/>
    <n v="20"/>
    <x v="3"/>
    <n v="62"/>
  </r>
  <r>
    <n v="3404"/>
    <x v="170"/>
    <x v="2"/>
    <d v="2024-08-17T00:00:00"/>
    <x v="0"/>
    <x v="2"/>
    <x v="1"/>
    <s v="No"/>
    <x v="1"/>
    <x v="0"/>
    <n v="20"/>
    <x v="6"/>
    <n v="15"/>
  </r>
  <r>
    <n v="3405"/>
    <x v="171"/>
    <x v="1"/>
    <d v="2024-08-18T00:00:00"/>
    <x v="1"/>
    <x v="1"/>
    <x v="0"/>
    <s v="No"/>
    <x v="1"/>
    <x v="1"/>
    <n v="0"/>
    <x v="4"/>
    <n v="4"/>
  </r>
  <r>
    <n v="3406"/>
    <x v="172"/>
    <x v="1"/>
    <d v="2024-08-19T00:00:00"/>
    <x v="0"/>
    <x v="1"/>
    <x v="0"/>
    <s v="No"/>
    <x v="1"/>
    <x v="1"/>
    <n v="0"/>
    <x v="1"/>
    <n v="5"/>
  </r>
  <r>
    <n v="3407"/>
    <x v="173"/>
    <x v="0"/>
    <d v="2024-08-20T00:00:00"/>
    <x v="1"/>
    <x v="0"/>
    <x v="2"/>
    <s v="Yes"/>
    <x v="0"/>
    <x v="0"/>
    <n v="20"/>
    <x v="10"/>
    <n v="58"/>
  </r>
  <r>
    <n v="3408"/>
    <x v="174"/>
    <x v="2"/>
    <d v="2024-08-21T00:00:00"/>
    <x v="0"/>
    <x v="2"/>
    <x v="1"/>
    <s v="No"/>
    <x v="1"/>
    <x v="0"/>
    <n v="20"/>
    <x v="2"/>
    <n v="20"/>
  </r>
  <r>
    <n v="3409"/>
    <x v="175"/>
    <x v="1"/>
    <d v="2024-08-22T00:00:00"/>
    <x v="1"/>
    <x v="1"/>
    <x v="2"/>
    <s v="No"/>
    <x v="1"/>
    <x v="1"/>
    <n v="0"/>
    <x v="4"/>
    <n v="4"/>
  </r>
  <r>
    <n v="3410"/>
    <x v="176"/>
    <x v="0"/>
    <d v="2024-08-23T00:00:00"/>
    <x v="0"/>
    <x v="0"/>
    <x v="0"/>
    <s v="Yes"/>
    <x v="0"/>
    <x v="0"/>
    <n v="20"/>
    <x v="6"/>
    <n v="50"/>
  </r>
  <r>
    <n v="3411"/>
    <x v="177"/>
    <x v="2"/>
    <d v="2024-08-24T00:00:00"/>
    <x v="1"/>
    <x v="2"/>
    <x v="0"/>
    <s v="No"/>
    <x v="1"/>
    <x v="0"/>
    <n v="20"/>
    <x v="0"/>
    <n v="25"/>
  </r>
  <r>
    <n v="3412"/>
    <x v="178"/>
    <x v="1"/>
    <d v="2024-08-25T00:00:00"/>
    <x v="0"/>
    <x v="1"/>
    <x v="1"/>
    <s v="No"/>
    <x v="1"/>
    <x v="1"/>
    <n v="0"/>
    <x v="1"/>
    <n v="5"/>
  </r>
  <r>
    <n v="3413"/>
    <x v="179"/>
    <x v="0"/>
    <d v="2024-08-26T00:00:00"/>
    <x v="1"/>
    <x v="0"/>
    <x v="2"/>
    <s v="Yes"/>
    <x v="0"/>
    <x v="0"/>
    <n v="20"/>
    <x v="7"/>
    <n v="45"/>
  </r>
  <r>
    <n v="3414"/>
    <x v="180"/>
    <x v="2"/>
    <d v="2024-08-27T00:00:00"/>
    <x v="0"/>
    <x v="2"/>
    <x v="2"/>
    <s v="No"/>
    <x v="1"/>
    <x v="0"/>
    <n v="20"/>
    <x v="9"/>
    <n v="18"/>
  </r>
  <r>
    <n v="3415"/>
    <x v="181"/>
    <x v="1"/>
    <d v="2024-08-28T00:00:00"/>
    <x v="1"/>
    <x v="1"/>
    <x v="0"/>
    <s v="No"/>
    <x v="1"/>
    <x v="1"/>
    <n v="0"/>
    <x v="5"/>
    <n v="3"/>
  </r>
  <r>
    <n v="3416"/>
    <x v="182"/>
    <x v="0"/>
    <d v="2024-08-29T00:00:00"/>
    <x v="0"/>
    <x v="0"/>
    <x v="1"/>
    <s v="Yes"/>
    <x v="0"/>
    <x v="0"/>
    <n v="20"/>
    <x v="0"/>
    <n v="60"/>
  </r>
  <r>
    <n v="3417"/>
    <x v="183"/>
    <x v="2"/>
    <d v="2024-08-30T00:00:00"/>
    <x v="1"/>
    <x v="2"/>
    <x v="0"/>
    <s v="No"/>
    <x v="1"/>
    <x v="0"/>
    <n v="20"/>
    <x v="2"/>
    <n v="20"/>
  </r>
  <r>
    <n v="3418"/>
    <x v="184"/>
    <x v="1"/>
    <d v="2024-08-31T00:00:00"/>
    <x v="0"/>
    <x v="1"/>
    <x v="2"/>
    <s v="No"/>
    <x v="1"/>
    <x v="1"/>
    <n v="0"/>
    <x v="1"/>
    <n v="5"/>
  </r>
  <r>
    <n v="3419"/>
    <x v="185"/>
    <x v="0"/>
    <d v="2024-09-01T00:00:00"/>
    <x v="1"/>
    <x v="0"/>
    <x v="0"/>
    <s v="Yes"/>
    <x v="0"/>
    <x v="0"/>
    <n v="20"/>
    <x v="3"/>
    <n v="62"/>
  </r>
  <r>
    <n v="3420"/>
    <x v="186"/>
    <x v="2"/>
    <d v="2024-09-02T00:00:00"/>
    <x v="0"/>
    <x v="2"/>
    <x v="1"/>
    <s v="No"/>
    <x v="1"/>
    <x v="0"/>
    <n v="20"/>
    <x v="6"/>
    <n v="15"/>
  </r>
  <r>
    <n v="3421"/>
    <x v="15"/>
    <x v="1"/>
    <d v="2024-09-03T00:00:00"/>
    <x v="1"/>
    <x v="1"/>
    <x v="0"/>
    <s v="No"/>
    <x v="1"/>
    <x v="1"/>
    <n v="0"/>
    <x v="4"/>
    <n v="4"/>
  </r>
  <r>
    <n v="3422"/>
    <x v="187"/>
    <x v="0"/>
    <d v="2024-09-04T00:00:00"/>
    <x v="0"/>
    <x v="0"/>
    <x v="2"/>
    <s v="Yes"/>
    <x v="0"/>
    <x v="0"/>
    <n v="20"/>
    <x v="10"/>
    <n v="58"/>
  </r>
  <r>
    <n v="3423"/>
    <x v="188"/>
    <x v="2"/>
    <d v="2024-09-05T00:00:00"/>
    <x v="1"/>
    <x v="2"/>
    <x v="0"/>
    <s v="No"/>
    <x v="1"/>
    <x v="0"/>
    <n v="20"/>
    <x v="2"/>
    <n v="20"/>
  </r>
  <r>
    <n v="3424"/>
    <x v="14"/>
    <x v="1"/>
    <d v="2024-09-06T00:00:00"/>
    <x v="0"/>
    <x v="1"/>
    <x v="1"/>
    <s v="No"/>
    <x v="1"/>
    <x v="1"/>
    <n v="0"/>
    <x v="1"/>
    <n v="5"/>
  </r>
  <r>
    <n v="3425"/>
    <x v="189"/>
    <x v="0"/>
    <d v="2024-09-07T00:00:00"/>
    <x v="1"/>
    <x v="0"/>
    <x v="0"/>
    <s v="Yes"/>
    <x v="0"/>
    <x v="0"/>
    <n v="20"/>
    <x v="7"/>
    <n v="45"/>
  </r>
  <r>
    <n v="3426"/>
    <x v="167"/>
    <x v="2"/>
    <d v="2024-09-08T00:00:00"/>
    <x v="0"/>
    <x v="2"/>
    <x v="2"/>
    <s v="No"/>
    <x v="1"/>
    <x v="0"/>
    <n v="20"/>
    <x v="6"/>
    <n v="15"/>
  </r>
  <r>
    <n v="3427"/>
    <x v="190"/>
    <x v="1"/>
    <d v="2024-09-09T00:00:00"/>
    <x v="1"/>
    <x v="1"/>
    <x v="0"/>
    <s v="No"/>
    <x v="1"/>
    <x v="1"/>
    <n v="0"/>
    <x v="4"/>
    <n v="4"/>
  </r>
  <r>
    <n v="3428"/>
    <x v="191"/>
    <x v="0"/>
    <d v="2024-09-10T00:00:00"/>
    <x v="0"/>
    <x v="0"/>
    <x v="1"/>
    <s v="Yes"/>
    <x v="0"/>
    <x v="0"/>
    <n v="20"/>
    <x v="3"/>
    <n v="62"/>
  </r>
  <r>
    <n v="3429"/>
    <x v="192"/>
    <x v="2"/>
    <d v="2024-09-11T00:00:00"/>
    <x v="1"/>
    <x v="2"/>
    <x v="0"/>
    <s v="No"/>
    <x v="1"/>
    <x v="0"/>
    <n v="20"/>
    <x v="2"/>
    <n v="20"/>
  </r>
  <r>
    <n v="3430"/>
    <x v="193"/>
    <x v="1"/>
    <d v="2024-09-12T00:00:00"/>
    <x v="0"/>
    <x v="1"/>
    <x v="2"/>
    <s v="No"/>
    <x v="1"/>
    <x v="1"/>
    <n v="0"/>
    <x v="1"/>
    <n v="5"/>
  </r>
  <r>
    <n v="3431"/>
    <x v="194"/>
    <x v="0"/>
    <d v="2024-09-13T00:00:00"/>
    <x v="1"/>
    <x v="0"/>
    <x v="0"/>
    <s v="Yes"/>
    <x v="0"/>
    <x v="0"/>
    <n v="20"/>
    <x v="6"/>
    <n v="50"/>
  </r>
  <r>
    <n v="3432"/>
    <x v="195"/>
    <x v="2"/>
    <d v="2024-09-14T00:00:00"/>
    <x v="0"/>
    <x v="2"/>
    <x v="1"/>
    <s v="No"/>
    <x v="1"/>
    <x v="0"/>
    <n v="20"/>
    <x v="6"/>
    <n v="15"/>
  </r>
  <r>
    <n v="3433"/>
    <x v="196"/>
    <x v="1"/>
    <d v="2024-09-15T00:00:00"/>
    <x v="1"/>
    <x v="1"/>
    <x v="0"/>
    <s v="No"/>
    <x v="1"/>
    <x v="1"/>
    <n v="0"/>
    <x v="4"/>
    <n v="4"/>
  </r>
  <r>
    <n v="3434"/>
    <x v="197"/>
    <x v="0"/>
    <d v="2024-09-16T00:00:00"/>
    <x v="0"/>
    <x v="0"/>
    <x v="2"/>
    <s v="Yes"/>
    <x v="0"/>
    <x v="0"/>
    <n v="20"/>
    <x v="10"/>
    <n v="58"/>
  </r>
  <r>
    <n v="3435"/>
    <x v="198"/>
    <x v="2"/>
    <d v="2024-09-17T00:00:00"/>
    <x v="1"/>
    <x v="2"/>
    <x v="0"/>
    <s v="No"/>
    <x v="1"/>
    <x v="0"/>
    <n v="20"/>
    <x v="2"/>
    <n v="20"/>
  </r>
  <r>
    <n v="3436"/>
    <x v="199"/>
    <x v="1"/>
    <d v="2024-09-18T00:00:00"/>
    <x v="0"/>
    <x v="1"/>
    <x v="0"/>
    <s v="No"/>
    <x v="1"/>
    <x v="1"/>
    <n v="0"/>
    <x v="1"/>
    <n v="5"/>
  </r>
  <r>
    <n v="3437"/>
    <x v="200"/>
    <x v="0"/>
    <d v="2024-09-19T00:00:00"/>
    <x v="1"/>
    <x v="0"/>
    <x v="2"/>
    <s v="Yes"/>
    <x v="0"/>
    <x v="0"/>
    <n v="20"/>
    <x v="10"/>
    <n v="58"/>
  </r>
  <r>
    <n v="3438"/>
    <x v="201"/>
    <x v="2"/>
    <d v="2024-09-20T00:00:00"/>
    <x v="0"/>
    <x v="2"/>
    <x v="1"/>
    <s v="No"/>
    <x v="1"/>
    <x v="0"/>
    <n v="20"/>
    <x v="2"/>
    <n v="20"/>
  </r>
  <r>
    <n v="3439"/>
    <x v="202"/>
    <x v="1"/>
    <d v="2024-09-21T00:00:00"/>
    <x v="1"/>
    <x v="1"/>
    <x v="2"/>
    <s v="No"/>
    <x v="1"/>
    <x v="1"/>
    <n v="0"/>
    <x v="4"/>
    <n v="4"/>
  </r>
  <r>
    <n v="3440"/>
    <x v="203"/>
    <x v="0"/>
    <d v="2024-09-22T00:00:00"/>
    <x v="0"/>
    <x v="0"/>
    <x v="0"/>
    <s v="Yes"/>
    <x v="0"/>
    <x v="0"/>
    <n v="20"/>
    <x v="6"/>
    <n v="50"/>
  </r>
  <r>
    <n v="3441"/>
    <x v="204"/>
    <x v="2"/>
    <d v="2024-09-23T00:00:00"/>
    <x v="1"/>
    <x v="2"/>
    <x v="0"/>
    <s v="No"/>
    <x v="1"/>
    <x v="0"/>
    <n v="20"/>
    <x v="0"/>
    <n v="25"/>
  </r>
  <r>
    <n v="3442"/>
    <x v="205"/>
    <x v="1"/>
    <d v="2024-09-24T00:00:00"/>
    <x v="0"/>
    <x v="1"/>
    <x v="1"/>
    <s v="No"/>
    <x v="1"/>
    <x v="1"/>
    <n v="0"/>
    <x v="1"/>
    <n v="5"/>
  </r>
  <r>
    <n v="3443"/>
    <x v="206"/>
    <x v="0"/>
    <d v="2024-09-25T00:00:00"/>
    <x v="1"/>
    <x v="0"/>
    <x v="2"/>
    <s v="Yes"/>
    <x v="0"/>
    <x v="0"/>
    <n v="20"/>
    <x v="7"/>
    <n v="45"/>
  </r>
  <r>
    <n v="3444"/>
    <x v="207"/>
    <x v="2"/>
    <d v="2024-09-26T00:00:00"/>
    <x v="0"/>
    <x v="2"/>
    <x v="2"/>
    <s v="No"/>
    <x v="1"/>
    <x v="0"/>
    <n v="20"/>
    <x v="9"/>
    <n v="18"/>
  </r>
  <r>
    <n v="3445"/>
    <x v="37"/>
    <x v="1"/>
    <d v="2024-09-27T00:00:00"/>
    <x v="1"/>
    <x v="1"/>
    <x v="0"/>
    <s v="No"/>
    <x v="1"/>
    <x v="1"/>
    <n v="0"/>
    <x v="5"/>
    <n v="3"/>
  </r>
  <r>
    <n v="3446"/>
    <x v="208"/>
    <x v="0"/>
    <d v="2024-09-28T00:00:00"/>
    <x v="0"/>
    <x v="0"/>
    <x v="1"/>
    <s v="Yes"/>
    <x v="0"/>
    <x v="0"/>
    <n v="20"/>
    <x v="0"/>
    <n v="60"/>
  </r>
  <r>
    <n v="3447"/>
    <x v="209"/>
    <x v="2"/>
    <d v="2024-09-29T00:00:00"/>
    <x v="1"/>
    <x v="2"/>
    <x v="0"/>
    <s v="No"/>
    <x v="1"/>
    <x v="0"/>
    <n v="20"/>
    <x v="2"/>
    <n v="20"/>
  </r>
  <r>
    <n v="3448"/>
    <x v="210"/>
    <x v="1"/>
    <d v="2024-09-30T00:00:00"/>
    <x v="0"/>
    <x v="1"/>
    <x v="2"/>
    <s v="No"/>
    <x v="1"/>
    <x v="1"/>
    <n v="0"/>
    <x v="1"/>
    <n v="5"/>
  </r>
  <r>
    <n v="3449"/>
    <x v="211"/>
    <x v="0"/>
    <d v="2024-10-01T00:00:00"/>
    <x v="1"/>
    <x v="0"/>
    <x v="0"/>
    <s v="Yes"/>
    <x v="0"/>
    <x v="0"/>
    <n v="20"/>
    <x v="3"/>
    <n v="62"/>
  </r>
  <r>
    <n v="3450"/>
    <x v="212"/>
    <x v="2"/>
    <d v="2024-10-02T00:00:00"/>
    <x v="0"/>
    <x v="2"/>
    <x v="1"/>
    <s v="No"/>
    <x v="1"/>
    <x v="0"/>
    <n v="20"/>
    <x v="6"/>
    <n v="15"/>
  </r>
  <r>
    <n v="3451"/>
    <x v="213"/>
    <x v="1"/>
    <d v="2024-10-03T00:00:00"/>
    <x v="1"/>
    <x v="1"/>
    <x v="0"/>
    <s v="No"/>
    <x v="1"/>
    <x v="1"/>
    <n v="0"/>
    <x v="4"/>
    <n v="4"/>
  </r>
  <r>
    <n v="3452"/>
    <x v="191"/>
    <x v="0"/>
    <d v="2024-10-04T00:00:00"/>
    <x v="0"/>
    <x v="0"/>
    <x v="2"/>
    <s v="Yes"/>
    <x v="0"/>
    <x v="0"/>
    <n v="20"/>
    <x v="10"/>
    <n v="58"/>
  </r>
  <r>
    <n v="3453"/>
    <x v="45"/>
    <x v="2"/>
    <d v="2024-10-05T00:00:00"/>
    <x v="1"/>
    <x v="2"/>
    <x v="0"/>
    <s v="No"/>
    <x v="1"/>
    <x v="0"/>
    <n v="20"/>
    <x v="2"/>
    <n v="20"/>
  </r>
  <r>
    <n v="3454"/>
    <x v="214"/>
    <x v="1"/>
    <d v="2024-10-06T00:00:00"/>
    <x v="0"/>
    <x v="1"/>
    <x v="1"/>
    <s v="No"/>
    <x v="1"/>
    <x v="1"/>
    <n v="0"/>
    <x v="1"/>
    <n v="5"/>
  </r>
  <r>
    <n v="3455"/>
    <x v="215"/>
    <x v="0"/>
    <d v="2024-10-07T00:00:00"/>
    <x v="1"/>
    <x v="0"/>
    <x v="0"/>
    <s v="Yes"/>
    <x v="0"/>
    <x v="0"/>
    <n v="20"/>
    <x v="7"/>
    <n v="45"/>
  </r>
  <r>
    <n v="3456"/>
    <x v="216"/>
    <x v="2"/>
    <d v="2024-10-08T00:00:00"/>
    <x v="0"/>
    <x v="2"/>
    <x v="2"/>
    <s v="No"/>
    <x v="1"/>
    <x v="0"/>
    <n v="20"/>
    <x v="6"/>
    <n v="15"/>
  </r>
  <r>
    <n v="3457"/>
    <x v="217"/>
    <x v="1"/>
    <d v="2024-10-09T00:00:00"/>
    <x v="1"/>
    <x v="1"/>
    <x v="0"/>
    <s v="No"/>
    <x v="1"/>
    <x v="1"/>
    <n v="0"/>
    <x v="4"/>
    <n v="4"/>
  </r>
  <r>
    <n v="3458"/>
    <x v="218"/>
    <x v="0"/>
    <d v="2024-10-10T00:00:00"/>
    <x v="0"/>
    <x v="0"/>
    <x v="1"/>
    <s v="Yes"/>
    <x v="0"/>
    <x v="0"/>
    <n v="20"/>
    <x v="3"/>
    <n v="62"/>
  </r>
  <r>
    <n v="3459"/>
    <x v="219"/>
    <x v="2"/>
    <d v="2024-10-11T00:00:00"/>
    <x v="1"/>
    <x v="2"/>
    <x v="0"/>
    <s v="No"/>
    <x v="1"/>
    <x v="0"/>
    <n v="20"/>
    <x v="2"/>
    <n v="20"/>
  </r>
  <r>
    <n v="3460"/>
    <x v="127"/>
    <x v="1"/>
    <d v="2024-10-12T00:00:00"/>
    <x v="0"/>
    <x v="1"/>
    <x v="2"/>
    <s v="No"/>
    <x v="1"/>
    <x v="1"/>
    <n v="0"/>
    <x v="1"/>
    <n v="5"/>
  </r>
  <r>
    <n v="3461"/>
    <x v="220"/>
    <x v="0"/>
    <d v="2024-10-13T00:00:00"/>
    <x v="1"/>
    <x v="0"/>
    <x v="0"/>
    <s v="Yes"/>
    <x v="0"/>
    <x v="0"/>
    <n v="20"/>
    <x v="6"/>
    <n v="50"/>
  </r>
  <r>
    <n v="3462"/>
    <x v="221"/>
    <x v="2"/>
    <d v="2024-10-14T00:00:00"/>
    <x v="0"/>
    <x v="2"/>
    <x v="1"/>
    <s v="No"/>
    <x v="1"/>
    <x v="0"/>
    <n v="20"/>
    <x v="6"/>
    <n v="15"/>
  </r>
  <r>
    <n v="3463"/>
    <x v="222"/>
    <x v="1"/>
    <d v="2024-10-15T00:00:00"/>
    <x v="1"/>
    <x v="1"/>
    <x v="0"/>
    <s v="No"/>
    <x v="1"/>
    <x v="1"/>
    <n v="0"/>
    <x v="4"/>
    <n v="4"/>
  </r>
  <r>
    <n v="3464"/>
    <x v="223"/>
    <x v="0"/>
    <d v="2024-10-16T00:00:00"/>
    <x v="0"/>
    <x v="0"/>
    <x v="2"/>
    <s v="Yes"/>
    <x v="0"/>
    <x v="0"/>
    <n v="20"/>
    <x v="10"/>
    <n v="58"/>
  </r>
  <r>
    <n v="3465"/>
    <x v="224"/>
    <x v="2"/>
    <d v="2024-10-17T00:00:00"/>
    <x v="1"/>
    <x v="2"/>
    <x v="0"/>
    <s v="No"/>
    <x v="1"/>
    <x v="0"/>
    <n v="20"/>
    <x v="2"/>
    <n v="20"/>
  </r>
  <r>
    <n v="3466"/>
    <x v="225"/>
    <x v="1"/>
    <d v="2024-10-18T00:00:00"/>
    <x v="0"/>
    <x v="1"/>
    <x v="1"/>
    <s v="No"/>
    <x v="1"/>
    <x v="1"/>
    <n v="0"/>
    <x v="1"/>
    <n v="5"/>
  </r>
  <r>
    <n v="3467"/>
    <x v="226"/>
    <x v="0"/>
    <d v="2024-10-19T00:00:00"/>
    <x v="1"/>
    <x v="0"/>
    <x v="0"/>
    <s v="Yes"/>
    <x v="0"/>
    <x v="0"/>
    <n v="20"/>
    <x v="6"/>
    <n v="50"/>
  </r>
  <r>
    <n v="3468"/>
    <x v="227"/>
    <x v="2"/>
    <d v="2024-10-20T00:00:00"/>
    <x v="0"/>
    <x v="2"/>
    <x v="2"/>
    <s v="No"/>
    <x v="1"/>
    <x v="0"/>
    <n v="20"/>
    <x v="9"/>
    <n v="18"/>
  </r>
  <r>
    <n v="3469"/>
    <x v="228"/>
    <x v="1"/>
    <d v="2024-10-21T00:00:00"/>
    <x v="1"/>
    <x v="1"/>
    <x v="0"/>
    <s v="No"/>
    <x v="1"/>
    <x v="1"/>
    <n v="0"/>
    <x v="5"/>
    <n v="3"/>
  </r>
  <r>
    <n v="3470"/>
    <x v="229"/>
    <x v="0"/>
    <d v="2024-10-22T00:00:00"/>
    <x v="0"/>
    <x v="0"/>
    <x v="1"/>
    <s v="Yes"/>
    <x v="0"/>
    <x v="0"/>
    <n v="20"/>
    <x v="0"/>
    <n v="60"/>
  </r>
  <r>
    <n v="3471"/>
    <x v="230"/>
    <x v="2"/>
    <d v="2024-10-23T00:00:00"/>
    <x v="1"/>
    <x v="2"/>
    <x v="0"/>
    <s v="No"/>
    <x v="1"/>
    <x v="0"/>
    <n v="20"/>
    <x v="2"/>
    <n v="20"/>
  </r>
  <r>
    <n v="3472"/>
    <x v="231"/>
    <x v="1"/>
    <d v="2024-10-24T00:00:00"/>
    <x v="0"/>
    <x v="1"/>
    <x v="2"/>
    <s v="No"/>
    <x v="1"/>
    <x v="1"/>
    <n v="0"/>
    <x v="1"/>
    <n v="5"/>
  </r>
  <r>
    <n v="3473"/>
    <x v="140"/>
    <x v="0"/>
    <d v="2024-10-25T00:00:00"/>
    <x v="1"/>
    <x v="0"/>
    <x v="0"/>
    <s v="Yes"/>
    <x v="0"/>
    <x v="0"/>
    <n v="20"/>
    <x v="3"/>
    <n v="62"/>
  </r>
  <r>
    <n v="3474"/>
    <x v="232"/>
    <x v="2"/>
    <d v="2024-10-26T00:00:00"/>
    <x v="0"/>
    <x v="2"/>
    <x v="1"/>
    <s v="No"/>
    <x v="1"/>
    <x v="0"/>
    <n v="20"/>
    <x v="6"/>
    <n v="15"/>
  </r>
  <r>
    <n v="3475"/>
    <x v="233"/>
    <x v="1"/>
    <d v="2024-10-27T00:00:00"/>
    <x v="1"/>
    <x v="1"/>
    <x v="0"/>
    <s v="No"/>
    <x v="1"/>
    <x v="1"/>
    <n v="0"/>
    <x v="4"/>
    <n v="4"/>
  </r>
  <r>
    <n v="3476"/>
    <x v="234"/>
    <x v="0"/>
    <d v="2024-10-28T00:00:00"/>
    <x v="0"/>
    <x v="0"/>
    <x v="2"/>
    <s v="Yes"/>
    <x v="0"/>
    <x v="0"/>
    <n v="20"/>
    <x v="10"/>
    <n v="58"/>
  </r>
  <r>
    <n v="3477"/>
    <x v="235"/>
    <x v="2"/>
    <d v="2024-10-29T00:00:00"/>
    <x v="1"/>
    <x v="2"/>
    <x v="0"/>
    <s v="No"/>
    <x v="1"/>
    <x v="0"/>
    <n v="20"/>
    <x v="2"/>
    <n v="20"/>
  </r>
  <r>
    <n v="3478"/>
    <x v="236"/>
    <x v="1"/>
    <d v="2024-10-30T00:00:00"/>
    <x v="0"/>
    <x v="1"/>
    <x v="1"/>
    <s v="No"/>
    <x v="1"/>
    <x v="1"/>
    <n v="0"/>
    <x v="1"/>
    <n v="5"/>
  </r>
  <r>
    <n v="3479"/>
    <x v="237"/>
    <x v="0"/>
    <d v="2024-10-31T00:00:00"/>
    <x v="1"/>
    <x v="0"/>
    <x v="0"/>
    <s v="Yes"/>
    <x v="0"/>
    <x v="0"/>
    <n v="20"/>
    <x v="7"/>
    <n v="45"/>
  </r>
  <r>
    <n v="3480"/>
    <x v="238"/>
    <x v="2"/>
    <d v="2024-11-01T00:00:00"/>
    <x v="0"/>
    <x v="2"/>
    <x v="2"/>
    <s v="No"/>
    <x v="1"/>
    <x v="0"/>
    <n v="20"/>
    <x v="6"/>
    <n v="15"/>
  </r>
  <r>
    <n v="3481"/>
    <x v="239"/>
    <x v="1"/>
    <d v="2024-11-02T00:00:00"/>
    <x v="1"/>
    <x v="1"/>
    <x v="0"/>
    <s v="No"/>
    <x v="1"/>
    <x v="1"/>
    <n v="0"/>
    <x v="4"/>
    <n v="4"/>
  </r>
  <r>
    <n v="3482"/>
    <x v="240"/>
    <x v="0"/>
    <d v="2024-11-03T00:00:00"/>
    <x v="0"/>
    <x v="0"/>
    <x v="1"/>
    <s v="Yes"/>
    <x v="0"/>
    <x v="0"/>
    <n v="20"/>
    <x v="3"/>
    <n v="62"/>
  </r>
  <r>
    <n v="3483"/>
    <x v="241"/>
    <x v="2"/>
    <d v="2024-11-04T00:00:00"/>
    <x v="1"/>
    <x v="2"/>
    <x v="0"/>
    <s v="No"/>
    <x v="1"/>
    <x v="0"/>
    <n v="20"/>
    <x v="2"/>
    <n v="20"/>
  </r>
  <r>
    <n v="3484"/>
    <x v="242"/>
    <x v="1"/>
    <d v="2024-11-05T00:00:00"/>
    <x v="0"/>
    <x v="1"/>
    <x v="2"/>
    <s v="No"/>
    <x v="1"/>
    <x v="1"/>
    <n v="0"/>
    <x v="1"/>
    <n v="5"/>
  </r>
  <r>
    <n v="3485"/>
    <x v="243"/>
    <x v="0"/>
    <d v="2024-11-06T00:00:00"/>
    <x v="1"/>
    <x v="0"/>
    <x v="0"/>
    <s v="Yes"/>
    <x v="0"/>
    <x v="0"/>
    <n v="20"/>
    <x v="6"/>
    <n v="50"/>
  </r>
  <r>
    <n v="3486"/>
    <x v="244"/>
    <x v="1"/>
    <d v="2024-11-07T00:00:00"/>
    <x v="0"/>
    <x v="1"/>
    <x v="0"/>
    <s v="No"/>
    <x v="1"/>
    <x v="1"/>
    <n v="0"/>
    <x v="1"/>
    <n v="5"/>
  </r>
  <r>
    <n v="3487"/>
    <x v="245"/>
    <x v="0"/>
    <d v="2024-11-08T00:00:00"/>
    <x v="1"/>
    <x v="0"/>
    <x v="2"/>
    <s v="Yes"/>
    <x v="0"/>
    <x v="0"/>
    <n v="20"/>
    <x v="10"/>
    <n v="58"/>
  </r>
  <r>
    <n v="3488"/>
    <x v="246"/>
    <x v="2"/>
    <d v="2024-11-09T00:00:00"/>
    <x v="0"/>
    <x v="2"/>
    <x v="1"/>
    <s v="No"/>
    <x v="1"/>
    <x v="0"/>
    <n v="20"/>
    <x v="2"/>
    <n v="20"/>
  </r>
  <r>
    <n v="3489"/>
    <x v="247"/>
    <x v="1"/>
    <d v="2024-11-10T00:00:00"/>
    <x v="1"/>
    <x v="1"/>
    <x v="2"/>
    <s v="No"/>
    <x v="1"/>
    <x v="1"/>
    <n v="0"/>
    <x v="4"/>
    <n v="4"/>
  </r>
  <r>
    <n v="3490"/>
    <x v="248"/>
    <x v="0"/>
    <d v="2024-11-11T00:00:00"/>
    <x v="0"/>
    <x v="0"/>
    <x v="0"/>
    <s v="Yes"/>
    <x v="0"/>
    <x v="0"/>
    <n v="20"/>
    <x v="6"/>
    <n v="50"/>
  </r>
  <r>
    <n v="3491"/>
    <x v="249"/>
    <x v="2"/>
    <d v="2024-11-12T00:00:00"/>
    <x v="1"/>
    <x v="2"/>
    <x v="0"/>
    <s v="No"/>
    <x v="1"/>
    <x v="0"/>
    <n v="20"/>
    <x v="0"/>
    <n v="25"/>
  </r>
  <r>
    <n v="3492"/>
    <x v="250"/>
    <x v="1"/>
    <d v="2024-11-13T00:00:00"/>
    <x v="0"/>
    <x v="1"/>
    <x v="1"/>
    <s v="No"/>
    <x v="1"/>
    <x v="1"/>
    <n v="0"/>
    <x v="1"/>
    <n v="5"/>
  </r>
  <r>
    <n v="3493"/>
    <x v="251"/>
    <x v="0"/>
    <d v="2024-11-14T00:00:00"/>
    <x v="1"/>
    <x v="0"/>
    <x v="2"/>
    <s v="Yes"/>
    <x v="0"/>
    <x v="0"/>
    <n v="20"/>
    <x v="7"/>
    <n v="45"/>
  </r>
  <r>
    <n v="3494"/>
    <x v="252"/>
    <x v="2"/>
    <d v="2024-11-15T00:00:00"/>
    <x v="0"/>
    <x v="2"/>
    <x v="2"/>
    <s v="No"/>
    <x v="1"/>
    <x v="0"/>
    <n v="20"/>
    <x v="9"/>
    <n v="18"/>
  </r>
  <r>
    <n v="3495"/>
    <x v="253"/>
    <x v="1"/>
    <d v="2024-11-16T00:00:00"/>
    <x v="1"/>
    <x v="1"/>
    <x v="0"/>
    <s v="No"/>
    <x v="1"/>
    <x v="1"/>
    <n v="0"/>
    <x v="5"/>
    <n v="3"/>
  </r>
  <r>
    <n v="3496"/>
    <x v="254"/>
    <x v="0"/>
    <d v="2024-11-17T00:00:00"/>
    <x v="0"/>
    <x v="0"/>
    <x v="1"/>
    <s v="Yes"/>
    <x v="0"/>
    <x v="0"/>
    <n v="20"/>
    <x v="0"/>
    <n v="60"/>
  </r>
  <r>
    <n v="3497"/>
    <x v="255"/>
    <x v="2"/>
    <d v="2024-11-18T00:00:00"/>
    <x v="1"/>
    <x v="2"/>
    <x v="0"/>
    <s v="No"/>
    <x v="1"/>
    <x v="0"/>
    <n v="20"/>
    <x v="2"/>
    <n v="20"/>
  </r>
  <r>
    <n v="3498"/>
    <x v="256"/>
    <x v="1"/>
    <d v="2024-11-19T00:00:00"/>
    <x v="0"/>
    <x v="1"/>
    <x v="2"/>
    <s v="No"/>
    <x v="1"/>
    <x v="1"/>
    <n v="0"/>
    <x v="1"/>
    <n v="5"/>
  </r>
  <r>
    <n v="3499"/>
    <x v="257"/>
    <x v="0"/>
    <d v="2024-11-20T00:00:00"/>
    <x v="1"/>
    <x v="0"/>
    <x v="0"/>
    <s v="Yes"/>
    <x v="0"/>
    <x v="0"/>
    <n v="20"/>
    <x v="3"/>
    <n v="62"/>
  </r>
  <r>
    <n v="3500"/>
    <x v="258"/>
    <x v="2"/>
    <d v="2024-11-21T00:00:00"/>
    <x v="0"/>
    <x v="2"/>
    <x v="1"/>
    <s v="No"/>
    <x v="1"/>
    <x v="0"/>
    <n v="20"/>
    <x v="6"/>
    <n v="15"/>
  </r>
  <r>
    <n v="3501"/>
    <x v="259"/>
    <x v="1"/>
    <d v="2024-11-22T00:00:00"/>
    <x v="1"/>
    <x v="1"/>
    <x v="0"/>
    <s v="No"/>
    <x v="1"/>
    <x v="1"/>
    <n v="0"/>
    <x v="4"/>
    <n v="4"/>
  </r>
  <r>
    <n v="3502"/>
    <x v="260"/>
    <x v="0"/>
    <d v="2024-11-23T00:00:00"/>
    <x v="0"/>
    <x v="0"/>
    <x v="2"/>
    <s v="Yes"/>
    <x v="0"/>
    <x v="0"/>
    <n v="20"/>
    <x v="10"/>
    <n v="58"/>
  </r>
  <r>
    <n v="3503"/>
    <x v="119"/>
    <x v="2"/>
    <d v="2024-11-24T00:00:00"/>
    <x v="1"/>
    <x v="2"/>
    <x v="0"/>
    <s v="No"/>
    <x v="1"/>
    <x v="0"/>
    <n v="20"/>
    <x v="2"/>
    <n v="20"/>
  </r>
  <r>
    <n v="3504"/>
    <x v="261"/>
    <x v="1"/>
    <d v="2024-11-25T00:00:00"/>
    <x v="0"/>
    <x v="1"/>
    <x v="1"/>
    <s v="No"/>
    <x v="1"/>
    <x v="1"/>
    <n v="0"/>
    <x v="1"/>
    <n v="5"/>
  </r>
  <r>
    <n v="3505"/>
    <x v="262"/>
    <x v="0"/>
    <d v="2024-11-26T00:00:00"/>
    <x v="1"/>
    <x v="0"/>
    <x v="0"/>
    <s v="Yes"/>
    <x v="0"/>
    <x v="0"/>
    <n v="20"/>
    <x v="7"/>
    <n v="45"/>
  </r>
  <r>
    <n v="3506"/>
    <x v="263"/>
    <x v="2"/>
    <d v="2024-11-27T00:00:00"/>
    <x v="0"/>
    <x v="2"/>
    <x v="2"/>
    <s v="No"/>
    <x v="1"/>
    <x v="0"/>
    <n v="20"/>
    <x v="6"/>
    <n v="15"/>
  </r>
  <r>
    <n v="3507"/>
    <x v="264"/>
    <x v="1"/>
    <d v="2024-11-28T00:00:00"/>
    <x v="1"/>
    <x v="1"/>
    <x v="0"/>
    <s v="No"/>
    <x v="1"/>
    <x v="1"/>
    <n v="0"/>
    <x v="4"/>
    <n v="4"/>
  </r>
  <r>
    <n v="3508"/>
    <x v="265"/>
    <x v="0"/>
    <d v="2024-11-29T00:00:00"/>
    <x v="0"/>
    <x v="0"/>
    <x v="1"/>
    <s v="Yes"/>
    <x v="0"/>
    <x v="0"/>
    <n v="20"/>
    <x v="3"/>
    <n v="62"/>
  </r>
  <r>
    <n v="3509"/>
    <x v="266"/>
    <x v="2"/>
    <d v="2024-11-30T00:00:00"/>
    <x v="1"/>
    <x v="2"/>
    <x v="0"/>
    <s v="No"/>
    <x v="1"/>
    <x v="0"/>
    <n v="20"/>
    <x v="2"/>
    <n v="20"/>
  </r>
  <r>
    <n v="3510"/>
    <x v="267"/>
    <x v="1"/>
    <d v="2024-12-01T00:00:00"/>
    <x v="0"/>
    <x v="1"/>
    <x v="2"/>
    <s v="No"/>
    <x v="1"/>
    <x v="1"/>
    <n v="0"/>
    <x v="1"/>
    <n v="5"/>
  </r>
  <r>
    <n v="3511"/>
    <x v="268"/>
    <x v="0"/>
    <d v="2024-12-02T00:00:00"/>
    <x v="1"/>
    <x v="0"/>
    <x v="0"/>
    <s v="Yes"/>
    <x v="0"/>
    <x v="0"/>
    <n v="20"/>
    <x v="6"/>
    <n v="50"/>
  </r>
  <r>
    <n v="3512"/>
    <x v="269"/>
    <x v="2"/>
    <d v="2024-12-03T00:00:00"/>
    <x v="0"/>
    <x v="2"/>
    <x v="1"/>
    <s v="No"/>
    <x v="1"/>
    <x v="0"/>
    <n v="20"/>
    <x v="6"/>
    <n v="15"/>
  </r>
  <r>
    <n v="3513"/>
    <x v="270"/>
    <x v="1"/>
    <d v="2024-12-04T00:00:00"/>
    <x v="1"/>
    <x v="1"/>
    <x v="0"/>
    <s v="No"/>
    <x v="1"/>
    <x v="1"/>
    <n v="0"/>
    <x v="4"/>
    <n v="4"/>
  </r>
  <r>
    <n v="3514"/>
    <x v="271"/>
    <x v="0"/>
    <d v="2024-12-05T00:00:00"/>
    <x v="0"/>
    <x v="0"/>
    <x v="2"/>
    <s v="Yes"/>
    <x v="0"/>
    <x v="0"/>
    <n v="20"/>
    <x v="10"/>
    <n v="58"/>
  </r>
  <r>
    <n v="3515"/>
    <x v="130"/>
    <x v="2"/>
    <d v="2024-12-06T00:00:00"/>
    <x v="1"/>
    <x v="2"/>
    <x v="0"/>
    <s v="No"/>
    <x v="1"/>
    <x v="0"/>
    <n v="20"/>
    <x v="2"/>
    <n v="20"/>
  </r>
  <r>
    <n v="3516"/>
    <x v="131"/>
    <x v="1"/>
    <d v="2024-12-07T00:00:00"/>
    <x v="0"/>
    <x v="1"/>
    <x v="1"/>
    <s v="No"/>
    <x v="1"/>
    <x v="1"/>
    <n v="0"/>
    <x v="1"/>
    <n v="5"/>
  </r>
  <r>
    <n v="3517"/>
    <x v="181"/>
    <x v="0"/>
    <d v="2024-12-08T00:00:00"/>
    <x v="1"/>
    <x v="0"/>
    <x v="0"/>
    <s v="Yes"/>
    <x v="0"/>
    <x v="0"/>
    <n v="20"/>
    <x v="7"/>
    <n v="45"/>
  </r>
  <r>
    <n v="3518"/>
    <x v="272"/>
    <x v="2"/>
    <d v="2024-12-09T00:00:00"/>
    <x v="0"/>
    <x v="2"/>
    <x v="2"/>
    <s v="No"/>
    <x v="1"/>
    <x v="0"/>
    <n v="20"/>
    <x v="9"/>
    <n v="18"/>
  </r>
  <r>
    <n v="3519"/>
    <x v="273"/>
    <x v="1"/>
    <d v="2024-12-10T00:00:00"/>
    <x v="1"/>
    <x v="1"/>
    <x v="0"/>
    <s v="No"/>
    <x v="1"/>
    <x v="1"/>
    <n v="0"/>
    <x v="5"/>
    <n v="3"/>
  </r>
  <r>
    <n v="3520"/>
    <x v="274"/>
    <x v="0"/>
    <d v="2024-12-11T00:00:00"/>
    <x v="0"/>
    <x v="0"/>
    <x v="1"/>
    <s v="Yes"/>
    <x v="0"/>
    <x v="0"/>
    <n v="20"/>
    <x v="0"/>
    <n v="60"/>
  </r>
  <r>
    <n v="3521"/>
    <x v="275"/>
    <x v="2"/>
    <d v="2024-12-12T00:00:00"/>
    <x v="1"/>
    <x v="2"/>
    <x v="0"/>
    <s v="No"/>
    <x v="1"/>
    <x v="0"/>
    <n v="20"/>
    <x v="2"/>
    <n v="20"/>
  </r>
  <r>
    <n v="3522"/>
    <x v="276"/>
    <x v="1"/>
    <d v="2024-12-13T00:00:00"/>
    <x v="0"/>
    <x v="1"/>
    <x v="2"/>
    <s v="No"/>
    <x v="1"/>
    <x v="1"/>
    <n v="0"/>
    <x v="1"/>
    <n v="5"/>
  </r>
  <r>
    <n v="3523"/>
    <x v="277"/>
    <x v="0"/>
    <d v="2024-12-14T00:00:00"/>
    <x v="1"/>
    <x v="0"/>
    <x v="0"/>
    <s v="Yes"/>
    <x v="0"/>
    <x v="0"/>
    <n v="20"/>
    <x v="3"/>
    <n v="62"/>
  </r>
  <r>
    <n v="3524"/>
    <x v="278"/>
    <x v="2"/>
    <d v="2024-12-15T00:00:00"/>
    <x v="0"/>
    <x v="2"/>
    <x v="1"/>
    <s v="No"/>
    <x v="1"/>
    <x v="0"/>
    <n v="20"/>
    <x v="6"/>
    <n v="15"/>
  </r>
  <r>
    <n v="3525"/>
    <x v="279"/>
    <x v="1"/>
    <d v="2024-12-16T00:00:00"/>
    <x v="1"/>
    <x v="1"/>
    <x v="0"/>
    <s v="No"/>
    <x v="1"/>
    <x v="1"/>
    <n v="0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1BD89-B0AD-494A-AC69-CFBB7CC38513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34:D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1457C-AD45-493F-AB57-EAF736DFB8AB}" name="tbl_eaplayseason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21:D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A14B1-7B52-4404-8DF8-1CE58815461E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11:D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3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E86B8FD-06FC-4625-8505-746BC6505CEE}" sourceName="Subscription Type">
  <pivotTables>
    <pivotTable tabId="3" name="tbl_annual_total"/>
    <pivotTable tabId="3" name="tbl_eaplayseason_total"/>
    <pivotTable tabId="3" name="Tabela dinâmica3"/>
  </pivotTables>
  <data>
    <tabular pivotCacheId="550032852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C80BEF5-2408-4B5F-BB38-27E94BDE6D4A}" cache="SegmentaçãodeDados_Subscription_Type" caption="Subscription Type" style="SlicerStyleDark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X13" sqref="X13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G101" zoomScale="90" zoomScaleNormal="90" workbookViewId="0">
      <selection activeCell="X13" sqref="X1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4:G42"/>
  <sheetViews>
    <sheetView showGridLines="0" topLeftCell="A31" workbookViewId="0">
      <selection activeCell="X13" sqref="X13"/>
    </sheetView>
  </sheetViews>
  <sheetFormatPr defaultRowHeight="15" x14ac:dyDescent="0.25"/>
  <cols>
    <col min="3" max="3" width="18.42578125" bestFit="1" customWidth="1"/>
    <col min="4" max="4" width="35.140625" bestFit="1" customWidth="1"/>
    <col min="5" max="5" width="8.7109375" bestFit="1" customWidth="1"/>
    <col min="6" max="6" width="12.140625" bestFit="1" customWidth="1"/>
    <col min="7" max="10" width="8.7109375" bestFit="1" customWidth="1"/>
    <col min="11" max="14" width="9.7109375" bestFit="1" customWidth="1"/>
    <col min="15" max="15" width="12.140625" bestFit="1" customWidth="1"/>
    <col min="16" max="16" width="15.5703125" bestFit="1" customWidth="1"/>
    <col min="17" max="17" width="12.140625" bestFit="1" customWidth="1"/>
  </cols>
  <sheetData>
    <row r="4" spans="3:7" x14ac:dyDescent="0.25">
      <c r="C4" s="15" t="s">
        <v>313</v>
      </c>
      <c r="D4" s="15"/>
      <c r="E4" s="15"/>
      <c r="F4" s="15"/>
      <c r="G4" s="15"/>
    </row>
    <row r="6" spans="3:7" x14ac:dyDescent="0.25">
      <c r="C6" t="s">
        <v>314</v>
      </c>
    </row>
    <row r="7" spans="3:7" x14ac:dyDescent="0.25">
      <c r="C7" t="s">
        <v>318</v>
      </c>
    </row>
    <row r="9" spans="3:7" x14ac:dyDescent="0.25">
      <c r="C9" s="12" t="s">
        <v>16</v>
      </c>
      <c r="D9" t="s">
        <v>24</v>
      </c>
    </row>
    <row r="11" spans="3:7" x14ac:dyDescent="0.25">
      <c r="C11" s="12" t="s">
        <v>315</v>
      </c>
      <c r="D11" t="s">
        <v>317</v>
      </c>
    </row>
    <row r="12" spans="3:7" x14ac:dyDescent="0.25">
      <c r="C12" s="13" t="s">
        <v>23</v>
      </c>
      <c r="D12" s="14">
        <v>217</v>
      </c>
    </row>
    <row r="13" spans="3:7" x14ac:dyDescent="0.25">
      <c r="C13" s="13" t="s">
        <v>19</v>
      </c>
      <c r="D13" s="14">
        <v>1537</v>
      </c>
    </row>
    <row r="14" spans="3:7" x14ac:dyDescent="0.25">
      <c r="C14" s="13" t="s">
        <v>316</v>
      </c>
      <c r="D14" s="14">
        <v>1754</v>
      </c>
    </row>
    <row r="17" spans="3:6" x14ac:dyDescent="0.25">
      <c r="C17" s="13" t="s">
        <v>321</v>
      </c>
    </row>
    <row r="19" spans="3:6" x14ac:dyDescent="0.25">
      <c r="C19" s="12" t="s">
        <v>16</v>
      </c>
      <c r="D19" t="s">
        <v>24</v>
      </c>
    </row>
    <row r="21" spans="3:6" x14ac:dyDescent="0.25">
      <c r="C21" s="12" t="s">
        <v>315</v>
      </c>
      <c r="D21" t="s">
        <v>320</v>
      </c>
    </row>
    <row r="22" spans="3:6" x14ac:dyDescent="0.25">
      <c r="C22" s="13" t="s">
        <v>22</v>
      </c>
      <c r="D22" s="22">
        <v>0</v>
      </c>
    </row>
    <row r="23" spans="3:6" x14ac:dyDescent="0.25">
      <c r="C23" s="13" t="s">
        <v>26</v>
      </c>
      <c r="D23" s="22">
        <v>0</v>
      </c>
    </row>
    <row r="24" spans="3:6" x14ac:dyDescent="0.25">
      <c r="C24" s="13" t="s">
        <v>18</v>
      </c>
      <c r="D24" s="22">
        <v>600</v>
      </c>
    </row>
    <row r="25" spans="3:6" x14ac:dyDescent="0.25">
      <c r="C25" s="13" t="s">
        <v>316</v>
      </c>
      <c r="D25" s="22">
        <v>600</v>
      </c>
      <c r="F25" s="18">
        <f>GETPIVOTDATA("EA Play Season Pass
Price",$C$21)</f>
        <v>600</v>
      </c>
    </row>
    <row r="29" spans="3:6" x14ac:dyDescent="0.25">
      <c r="C29" t="s">
        <v>322</v>
      </c>
    </row>
    <row r="32" spans="3:6" x14ac:dyDescent="0.25">
      <c r="C32" s="12" t="s">
        <v>16</v>
      </c>
      <c r="D32" t="s">
        <v>24</v>
      </c>
    </row>
    <row r="34" spans="3:6" x14ac:dyDescent="0.25">
      <c r="C34" s="12" t="s">
        <v>315</v>
      </c>
      <c r="D34" t="s">
        <v>323</v>
      </c>
    </row>
    <row r="35" spans="3:6" x14ac:dyDescent="0.25">
      <c r="C35" s="13" t="s">
        <v>22</v>
      </c>
      <c r="D35" s="14">
        <v>0</v>
      </c>
    </row>
    <row r="36" spans="3:6" x14ac:dyDescent="0.25">
      <c r="C36" s="13" t="s">
        <v>26</v>
      </c>
      <c r="D36" s="14">
        <v>540</v>
      </c>
    </row>
    <row r="37" spans="3:6" x14ac:dyDescent="0.25">
      <c r="C37" s="13" t="s">
        <v>18</v>
      </c>
      <c r="D37" s="14">
        <v>400</v>
      </c>
    </row>
    <row r="38" spans="3:6" x14ac:dyDescent="0.25">
      <c r="C38" s="13" t="s">
        <v>316</v>
      </c>
      <c r="D38" s="14">
        <v>940</v>
      </c>
      <c r="F38" s="18">
        <f>GETPIVOTDATA("Minecraft Season Pass Price",$C$34)</f>
        <v>940</v>
      </c>
    </row>
    <row r="40" spans="3:6" x14ac:dyDescent="0.25">
      <c r="C40" s="13"/>
    </row>
    <row r="42" spans="3:6" x14ac:dyDescent="0.25">
      <c r="C42" s="18"/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BG153"/>
  <sheetViews>
    <sheetView showGridLines="0" showRowColHeaders="0" tabSelected="1" zoomScale="80" zoomScaleNormal="80" workbookViewId="0">
      <selection activeCell="T11" sqref="T11"/>
    </sheetView>
  </sheetViews>
  <sheetFormatPr defaultRowHeight="15" x14ac:dyDescent="0.25"/>
  <cols>
    <col min="1" max="1" width="28.85546875" style="16" customWidth="1"/>
    <col min="2" max="2" width="3.5703125" customWidth="1"/>
    <col min="12" max="12" width="6.5703125" customWidth="1"/>
    <col min="18" max="18" width="9.140625" customWidth="1"/>
  </cols>
  <sheetData>
    <row r="2" spans="2:59" ht="39" customHeight="1" thickBot="1" x14ac:dyDescent="0.95">
      <c r="C2" s="20" t="s">
        <v>319</v>
      </c>
      <c r="D2" s="21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9"/>
    </row>
    <row r="3" spans="2:59" ht="8.25" customHeight="1" thickTop="1" x14ac:dyDescent="0.25"/>
    <row r="4" spans="2:59" ht="7.5" customHeight="1" x14ac:dyDescent="0.25"/>
    <row r="5" spans="2:59" ht="10.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</row>
    <row r="6" spans="2:59" ht="9.7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</row>
    <row r="7" spans="2:59" ht="33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</row>
    <row r="8" spans="2:59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</row>
    <row r="9" spans="2:59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</row>
    <row r="10" spans="2:59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</row>
    <row r="11" spans="2:59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</row>
    <row r="12" spans="2:59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</row>
    <row r="13" spans="2:59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</row>
    <row r="14" spans="2:59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</row>
    <row r="15" spans="2:59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</row>
    <row r="16" spans="2:59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</row>
    <row r="17" spans="2:59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</row>
    <row r="18" spans="2:59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</row>
    <row r="19" spans="2:59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</row>
    <row r="20" spans="2:59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</row>
    <row r="21" spans="2:59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</row>
    <row r="22" spans="2:59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</row>
    <row r="23" spans="2:59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</row>
    <row r="24" spans="2:59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</row>
    <row r="25" spans="2:59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</row>
    <row r="26" spans="2:59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</row>
    <row r="27" spans="2:59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</row>
    <row r="28" spans="2:59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</row>
    <row r="29" spans="2:59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</row>
    <row r="30" spans="2:59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</row>
    <row r="31" spans="2:59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</row>
    <row r="32" spans="2:59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</row>
    <row r="33" spans="2:59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</row>
    <row r="34" spans="2:59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</row>
    <row r="35" spans="2:59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</row>
    <row r="36" spans="2:59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</row>
    <row r="37" spans="2:59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</row>
    <row r="38" spans="2:59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</row>
    <row r="39" spans="2:59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</row>
    <row r="40" spans="2:59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</row>
    <row r="41" spans="2:59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</row>
    <row r="42" spans="2:59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</row>
    <row r="43" spans="2:59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</row>
    <row r="44" spans="2:59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</row>
    <row r="45" spans="2:59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</row>
    <row r="46" spans="2:59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</row>
    <row r="47" spans="2:59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</row>
    <row r="48" spans="2:59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</row>
    <row r="49" spans="2:59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</row>
    <row r="50" spans="2:59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</row>
    <row r="51" spans="2:59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</row>
    <row r="52" spans="2:59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</row>
    <row r="53" spans="2:59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</row>
    <row r="54" spans="2:59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</row>
    <row r="55" spans="2:59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</row>
    <row r="56" spans="2:59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</row>
    <row r="57" spans="2:59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</row>
    <row r="58" spans="2:59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</row>
    <row r="59" spans="2:59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</row>
    <row r="60" spans="2:59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</row>
    <row r="61" spans="2:59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</row>
    <row r="62" spans="2:59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</row>
    <row r="63" spans="2:59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</row>
    <row r="64" spans="2:59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</row>
    <row r="65" spans="2:59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</row>
    <row r="66" spans="2:59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</row>
    <row r="67" spans="2:59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</row>
    <row r="68" spans="2:59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</row>
    <row r="69" spans="2:59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</row>
    <row r="70" spans="2:59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</row>
    <row r="71" spans="2:59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</row>
    <row r="72" spans="2:59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</row>
    <row r="73" spans="2:59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</row>
    <row r="74" spans="2:59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</row>
    <row r="75" spans="2:59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</row>
    <row r="76" spans="2:59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</row>
    <row r="77" spans="2:59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</row>
    <row r="78" spans="2:59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</row>
    <row r="79" spans="2:59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</row>
    <row r="80" spans="2:59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</row>
    <row r="81" spans="2:59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</row>
    <row r="82" spans="2:59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</row>
    <row r="83" spans="2:59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</row>
    <row r="84" spans="2:59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</row>
    <row r="85" spans="2:59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</row>
    <row r="86" spans="2:59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</row>
    <row r="87" spans="2:59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</row>
    <row r="88" spans="2:59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</row>
    <row r="89" spans="2:59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</row>
    <row r="90" spans="2:59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</row>
    <row r="91" spans="2:59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</row>
    <row r="92" spans="2:59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</row>
    <row r="93" spans="2:59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</row>
    <row r="94" spans="2:59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</row>
    <row r="95" spans="2:59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</row>
    <row r="96" spans="2:59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</row>
    <row r="97" spans="2:59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</row>
    <row r="98" spans="2:59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</row>
    <row r="99" spans="2:59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</row>
    <row r="100" spans="2:59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</row>
    <row r="101" spans="2:59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</row>
    <row r="102" spans="2:59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</row>
    <row r="103" spans="2:59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</row>
    <row r="104" spans="2:59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</row>
    <row r="105" spans="2:59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</row>
    <row r="106" spans="2:59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</row>
    <row r="107" spans="2:59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</row>
    <row r="108" spans="2:59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</row>
    <row r="109" spans="2:59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</row>
    <row r="110" spans="2:59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</row>
    <row r="111" spans="2:59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</row>
    <row r="112" spans="2:59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</row>
    <row r="113" spans="2:59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</row>
    <row r="114" spans="2:59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</row>
    <row r="115" spans="2:59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</row>
    <row r="116" spans="2:59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</row>
    <row r="117" spans="2:59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</row>
    <row r="118" spans="2:59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</row>
    <row r="119" spans="2:59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</row>
    <row r="120" spans="2:59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</row>
    <row r="121" spans="2:59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</row>
    <row r="122" spans="2:59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</row>
    <row r="123" spans="2:59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</row>
    <row r="124" spans="2:59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</row>
    <row r="125" spans="2:59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</row>
    <row r="126" spans="2:59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</row>
    <row r="127" spans="2:59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</row>
    <row r="128" spans="2:59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</row>
    <row r="129" spans="2:59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</row>
    <row r="130" spans="2:59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</row>
    <row r="131" spans="2:59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</row>
    <row r="132" spans="2:59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</row>
    <row r="133" spans="2:59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</row>
    <row r="134" spans="2:59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</row>
    <row r="135" spans="2:59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</row>
    <row r="136" spans="2:59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</row>
    <row r="137" spans="2:59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</row>
    <row r="138" spans="2:59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</row>
    <row r="139" spans="2:59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</row>
    <row r="140" spans="2:59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</row>
    <row r="141" spans="2:59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</row>
    <row r="142" spans="2:59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</row>
    <row r="143" spans="2:59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</row>
    <row r="144" spans="2:59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</row>
    <row r="145" spans="2:59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</row>
    <row r="146" spans="2:59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</row>
    <row r="147" spans="2:59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</row>
    <row r="148" spans="2:59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</row>
    <row r="149" spans="2:59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</row>
    <row r="150" spans="2:59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</row>
    <row r="151" spans="2:59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</row>
    <row r="152" spans="2:59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</row>
    <row r="153" spans="2:59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Joe Regaçoni</cp:lastModifiedBy>
  <dcterms:created xsi:type="dcterms:W3CDTF">2024-12-19T13:13:10Z</dcterms:created>
  <dcterms:modified xsi:type="dcterms:W3CDTF">2026-01-22T01:26:01Z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